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Food Log" sheetId="2" state="visible" r:id="rId2"/>
    <sheet name="Exercise Log" sheetId="3" state="visible" r:id="rId3"/>
    <sheet name="Weight Log" sheetId="4" state="visible" r:id="rId4"/>
    <sheet name="Calendar" sheetId="5" state="visible" r:id="rId5"/>
    <sheet name="Dashboard Da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"/>
    <numFmt numFmtId="165" formatCode="\+0.0;\-0.0;0"/>
    <numFmt numFmtId="166" formatCode="dd\-mmm"/>
    <numFmt numFmtId="167" formatCode="dd\-mmm\-yyyy"/>
    <numFmt numFmtId="168" formatCode="DD-MMM"/>
    <numFmt numFmtId="169" formatCode="0.00 g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202C"/>
      <sz val="18"/>
    </font>
    <font>
      <name val="Arial"/>
      <charset val="1"/>
      <family val="0"/>
      <color rgb="FF718096"/>
      <sz val="10"/>
    </font>
    <font>
      <name val="Arial"/>
      <charset val="1"/>
      <family val="0"/>
      <color rgb="FF718096"/>
      <sz val="9"/>
    </font>
    <font>
      <name val="Arial"/>
      <charset val="1"/>
      <family val="0"/>
      <b val="1"/>
      <color rgb="FF1A202C"/>
      <sz val="13"/>
    </font>
    <font>
      <name val="Arial"/>
      <charset val="1"/>
      <family val="0"/>
      <color rgb="FF2D3748"/>
      <sz val="10"/>
    </font>
    <font>
      <name val="Arial"/>
      <charset val="1"/>
      <family val="0"/>
      <b val="1"/>
      <color rgb="FF2D3748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A202C"/>
      <sz val="16"/>
    </font>
    <font>
      <name val="Arial"/>
      <charset val="1"/>
      <family val="0"/>
      <i val="1"/>
      <color rgb="FF718096"/>
      <sz val="9"/>
    </font>
    <font>
      <name val="Arial"/>
      <charset val="1"/>
      <family val="0"/>
      <color rgb="FF3B82F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A0AEC0"/>
      <sz val="8"/>
    </font>
    <font>
      <name val="Arial"/>
      <charset val="1"/>
      <family val="0"/>
      <b val="1"/>
      <color rgb="FF276749"/>
      <sz val="9"/>
    </font>
    <font>
      <name val="Arial"/>
      <charset val="1"/>
      <family val="0"/>
      <b val="1"/>
      <color rgb="FF975A16"/>
      <sz val="9"/>
    </font>
    <font>
      <name val="Arial"/>
      <charset val="1"/>
      <family val="0"/>
      <b val="1"/>
      <color rgb="FF9B2C2C"/>
      <sz val="9"/>
    </font>
    <font>
      <name val="Arial"/>
      <charset val="1"/>
      <family val="0"/>
      <b val="1"/>
      <color rgb="FF2D3748"/>
      <sz val="12"/>
    </font>
    <font>
      <name val="Arial"/>
      <charset val="1"/>
      <family val="0"/>
      <color rgb="FFA0AEC0"/>
      <sz val="9"/>
    </font>
    <font>
      <name val="Arial"/>
      <i val="1"/>
      <color rgb="00718096"/>
      <sz val="8"/>
    </font>
    <font>
      <name val="Arial"/>
      <b val="1"/>
      <color rgb="002D3748"/>
      <sz val="10"/>
    </font>
    <font>
      <name val="Arial"/>
      <b val="1"/>
      <color rgb="00FFFFFF"/>
      <sz val="10"/>
    </font>
    <font>
      <name val="Arial"/>
      <color rgb="002D3748"/>
      <sz val="10"/>
    </font>
  </fonts>
  <fills count="15">
    <fill>
      <patternFill/>
    </fill>
    <fill>
      <patternFill patternType="gray125"/>
    </fill>
    <fill>
      <patternFill patternType="solid">
        <fgColor rgb="FFF0FFF4"/>
        <bgColor rgb="FFF7FAFC"/>
      </patternFill>
    </fill>
    <fill>
      <patternFill patternType="solid">
        <fgColor rgb="FF4A5568"/>
        <bgColor rgb="FF276749"/>
      </patternFill>
    </fill>
    <fill>
      <patternFill patternType="solid">
        <fgColor rgb="FFFFFFFF"/>
        <bgColor rgb="FFF7FAFC"/>
      </patternFill>
    </fill>
    <fill>
      <patternFill patternType="solid">
        <fgColor rgb="FFF7FAFC"/>
        <bgColor rgb="FFFFFFFF"/>
      </patternFill>
    </fill>
    <fill>
      <patternFill patternType="solid">
        <fgColor rgb="FF2D3748"/>
        <bgColor rgb="FF1A202C"/>
      </patternFill>
    </fill>
    <fill>
      <patternFill patternType="solid">
        <fgColor rgb="FFEBF8FF"/>
        <bgColor rgb="FFEBF4FF"/>
      </patternFill>
    </fill>
    <fill>
      <patternFill patternType="solid">
        <fgColor rgb="FFEBF4FF"/>
        <bgColor rgb="FFEBF8FF"/>
      </patternFill>
    </fill>
    <fill>
      <patternFill patternType="solid">
        <fgColor rgb="FFC6F6D5"/>
        <bgColor rgb="FFEDF2F7"/>
      </patternFill>
    </fill>
    <fill>
      <patternFill patternType="solid">
        <fgColor rgb="FFFEFCBF"/>
        <bgColor rgb="FFF0FFF4"/>
      </patternFill>
    </fill>
    <fill>
      <patternFill patternType="solid">
        <fgColor rgb="FFFED7D7"/>
        <bgColor rgb="FFEDF2F7"/>
      </patternFill>
    </fill>
    <fill>
      <patternFill patternType="solid">
        <fgColor rgb="FFEDF2F7"/>
        <bgColor rgb="FFEBF4FF"/>
      </patternFill>
    </fill>
    <fill>
      <patternFill patternType="solid">
        <fgColor rgb="00FFFFFF"/>
      </patternFill>
    </fill>
    <fill>
      <patternFill patternType="solid">
        <fgColor rgb="004A5568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" fontId="8" fillId="4" borderId="1" applyAlignment="1" pivotButton="0" quotePrefix="0" xfId="0">
      <alignment horizontal="center" vertical="center" wrapText="1"/>
    </xf>
    <xf numFmtId="9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" fontId="8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general" vertical="bottom"/>
    </xf>
    <xf numFmtId="165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6" borderId="1" applyAlignment="1" pivotButton="0" quotePrefix="0" xfId="0">
      <alignment horizontal="center" vertical="center" wrapText="1"/>
    </xf>
    <xf numFmtId="166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167" fontId="9" fillId="7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8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general" vertical="bottom"/>
    </xf>
    <xf numFmtId="0" fontId="19" fillId="10" borderId="1" applyAlignment="1" pivotButton="0" quotePrefix="0" xfId="0">
      <alignment horizontal="center" vertical="bottom"/>
    </xf>
    <xf numFmtId="0" fontId="19" fillId="9" borderId="1" applyAlignment="1" pivotButton="0" quotePrefix="0" xfId="0">
      <alignment horizontal="center" vertical="bottom"/>
    </xf>
    <xf numFmtId="164" fontId="17" fillId="10" borderId="1" applyAlignment="1" pivotButton="0" quotePrefix="0" xfId="0">
      <alignment horizontal="center" vertical="top"/>
    </xf>
    <xf numFmtId="164" fontId="16" fillId="9" borderId="1" applyAlignment="1" pivotButton="0" quotePrefix="0" xfId="0">
      <alignment horizontal="center" vertical="top"/>
    </xf>
    <xf numFmtId="0" fontId="19" fillId="11" borderId="1" applyAlignment="1" pivotButton="0" quotePrefix="0" xfId="0">
      <alignment horizontal="center" vertical="bottom"/>
    </xf>
    <xf numFmtId="0" fontId="19" fillId="12" borderId="1" applyAlignment="1" pivotButton="0" quotePrefix="0" xfId="0">
      <alignment horizontal="center" vertical="bottom"/>
    </xf>
    <xf numFmtId="164" fontId="18" fillId="11" borderId="1" applyAlignment="1" pivotButton="0" quotePrefix="0" xfId="0">
      <alignment horizontal="center" vertical="top"/>
    </xf>
    <xf numFmtId="0" fontId="20" fillId="12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general" vertical="bottom"/>
    </xf>
    <xf numFmtId="166" fontId="8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166" fontId="8" fillId="5" borderId="1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" fontId="8" fillId="4" borderId="1" applyAlignment="1" pivotButton="0" quotePrefix="0" xfId="0">
      <alignment horizontal="center" vertical="center" wrapText="1"/>
    </xf>
    <xf numFmtId="9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" fontId="8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general" vertical="bottom"/>
    </xf>
    <xf numFmtId="165" fontId="8" fillId="4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4" fillId="0" borderId="3" applyAlignment="1" pivotButton="0" quotePrefix="0" xfId="0">
      <alignment horizontal="general" vertical="bottom"/>
    </xf>
    <xf numFmtId="0" fontId="24" fillId="0" borderId="3" pivotButton="0" quotePrefix="0" xfId="0"/>
    <xf numFmtId="1" fontId="24" fillId="0" borderId="3" applyAlignment="1" pivotButton="0" quotePrefix="0" xfId="0">
      <alignment horizontal="general" vertical="bottom"/>
    </xf>
    <xf numFmtId="166" fontId="24" fillId="0" borderId="3" applyAlignment="1" pivotButton="0" quotePrefix="0" xfId="0">
      <alignment horizontal="general" vertical="bottom"/>
    </xf>
    <xf numFmtId="164" fontId="24" fillId="0" borderId="3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6" borderId="1" applyAlignment="1" pivotButton="0" quotePrefix="0" xfId="0">
      <alignment horizontal="center" vertical="center" wrapText="1"/>
    </xf>
    <xf numFmtId="166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0" pivotButton="0" quotePrefix="0" xfId="0"/>
    <xf numFmtId="0" fontId="8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167" fontId="9" fillId="7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8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general" vertical="bottom"/>
    </xf>
    <xf numFmtId="0" fontId="19" fillId="10" borderId="1" applyAlignment="1" pivotButton="0" quotePrefix="0" xfId="0">
      <alignment horizontal="center" vertical="bottom"/>
    </xf>
    <xf numFmtId="0" fontId="19" fillId="9" borderId="1" applyAlignment="1" pivotButton="0" quotePrefix="0" xfId="0">
      <alignment horizontal="center" vertical="bottom"/>
    </xf>
    <xf numFmtId="164" fontId="17" fillId="10" borderId="1" applyAlignment="1" pivotButton="0" quotePrefix="0" xfId="0">
      <alignment horizontal="center" vertical="top"/>
    </xf>
    <xf numFmtId="164" fontId="16" fillId="9" borderId="1" applyAlignment="1" pivotButton="0" quotePrefix="0" xfId="0">
      <alignment horizontal="center" vertical="top"/>
    </xf>
    <xf numFmtId="0" fontId="19" fillId="11" borderId="1" applyAlignment="1" pivotButton="0" quotePrefix="0" xfId="0">
      <alignment horizontal="center" vertical="bottom"/>
    </xf>
    <xf numFmtId="0" fontId="19" fillId="12" borderId="1" applyAlignment="1" pivotButton="0" quotePrefix="0" xfId="0">
      <alignment horizontal="center" vertical="bottom"/>
    </xf>
    <xf numFmtId="164" fontId="18" fillId="11" borderId="1" applyAlignment="1" pivotButton="0" quotePrefix="0" xfId="0">
      <alignment horizontal="center" vertical="top"/>
    </xf>
    <xf numFmtId="0" fontId="20" fillId="12" borderId="1" applyAlignment="1" pivotButton="0" quotePrefix="0" xfId="0">
      <alignment horizontal="center" vertical="top"/>
    </xf>
    <xf numFmtId="166" fontId="8" fillId="4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2" fillId="0" borderId="0" pivotButton="0" quotePrefix="0" xfId="0"/>
    <xf numFmtId="0" fontId="23" fillId="14" borderId="2" applyAlignment="1" pivotButton="0" quotePrefix="0" xfId="0">
      <alignment horizontal="center" vertical="center" wrapText="1"/>
    </xf>
    <xf numFmtId="0" fontId="24" fillId="0" borderId="2" pivotButton="0" quotePrefix="0" xfId="0"/>
    <xf numFmtId="0" fontId="0" fillId="0" borderId="2" pivotButton="0" quotePrefix="0" xfId="0"/>
    <xf numFmtId="168" fontId="0" fillId="0" borderId="2" pivotButton="0" quotePrefix="0" xfId="0"/>
    <xf numFmtId="164" fontId="0" fillId="0" borderId="2" pivotButton="0" quotePrefix="0" xfId="0"/>
    <xf numFmtId="2" fontId="4" fillId="2" borderId="0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2" fontId="24" fillId="0" borderId="3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2" fontId="8" fillId="7" borderId="1" applyAlignment="1" pivotButton="0" quotePrefix="0" xfId="0">
      <alignment horizontal="center" vertical="center" wrapText="1"/>
    </xf>
    <xf numFmtId="2" fontId="17" fillId="10" borderId="1" applyAlignment="1" pivotButton="0" quotePrefix="0" xfId="0">
      <alignment horizontal="center" vertical="top"/>
    </xf>
    <xf numFmtId="2" fontId="16" fillId="9" borderId="1" applyAlignment="1" pivotButton="0" quotePrefix="0" xfId="0">
      <alignment horizontal="center" vertical="top"/>
    </xf>
    <xf numFmtId="2" fontId="18" fillId="11" borderId="1" applyAlignment="1" pivotButton="0" quotePrefix="0" xfId="0">
      <alignment horizontal="center" vertical="top"/>
    </xf>
    <xf numFmtId="2" fontId="0" fillId="0" borderId="2" pivotButton="0" quotePrefix="0" xfId="0"/>
    <xf numFmtId="169" fontId="4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75A16"/>
      <rgbColor rgb="FF800080"/>
      <rgbColor rgb="FF276749"/>
      <rgbColor rgb="FFA0AEC0"/>
      <rgbColor rgb="FF718096"/>
      <rgbColor rgb="FF8B5CF6"/>
      <rgbColor rgb="FF993366"/>
      <rgbColor rgb="FFFEFCBF"/>
      <rgbColor rgb="FFEBF8FF"/>
      <rgbColor rgb="FF660066"/>
      <rgbColor rgb="FFEC4899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C6F6D5"/>
      <rgbColor rgb="FFF0FFF4"/>
      <rgbColor rgb="FFEDF2F7"/>
      <rgbColor rgb="FFF7FAFC"/>
      <rgbColor rgb="FFCC99FF"/>
      <rgbColor rgb="FFFED7D7"/>
      <rgbColor rgb="FF3B82F6"/>
      <rgbColor rgb="FF33CCCC"/>
      <rgbColor rgb="FF99CC00"/>
      <rgbColor rgb="FFFFCC00"/>
      <rgbColor rgb="FFF59E0B"/>
      <rgbColor rgb="FFEF4444"/>
      <rgbColor rgb="FF4A5568"/>
      <rgbColor rgb="FF6366F1"/>
      <rgbColor rgb="FF003366"/>
      <rgbColor rgb="FF10B981"/>
      <rgbColor rgb="FF003300"/>
      <rgbColor rgb="FF1A202C"/>
      <rgbColor rgb="FF9B2C2C"/>
      <rgbColor rgb="FF993366"/>
      <rgbColor rgb="FF333399"/>
      <rgbColor rgb="FF2D37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Nutrition vs Ideal (Daily Average)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Data'!D76</f>
            </strRef>
          </tx>
          <spPr>
            <a:solidFill>
              <a:srgbClr val="3B82F6"/>
            </a:solidFill>
            <a:ln>
              <a:prstDash val="solid"/>
            </a:ln>
          </spPr>
          <cat>
            <numRef>
              <f>'Dashboard Data'!$C$77:$C$81</f>
            </numRef>
          </cat>
          <val>
            <numRef>
              <f>'Dashboard Data'!$D$77:$D$81</f>
            </numRef>
          </val>
        </ser>
        <ser>
          <idx val="1"/>
          <order val="1"/>
          <tx>
            <strRef>
              <f>'Dashboard Data'!E76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'Dashboard Data'!$C$77:$C$81</f>
            </numRef>
          </cat>
          <val>
            <numRef>
              <f>'Dashboard Data'!$E$77:$E$81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Nutrient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Calorie Intake &amp; Burn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Data'!C91</f>
            </strRef>
          </tx>
          <spPr>
            <a:ln w="22000">
              <a:solidFill>
                <a:srgbClr val="EF44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Data'!$B$92:$B$122</f>
            </numRef>
          </cat>
          <val>
            <numRef>
              <f>'Dashboard Data'!$C$92:$C$122</f>
            </numRef>
          </val>
        </ser>
        <ser>
          <idx val="1"/>
          <order val="1"/>
          <tx>
            <strRef>
              <f>'Dashboard Data'!D91</f>
            </strRef>
          </tx>
          <spPr>
            <a:ln w="22000">
              <a:solidFill>
                <a:srgbClr val="10B9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Data'!$B$92:$B$122</f>
            </numRef>
          </cat>
          <val>
            <numRef>
              <f>'Dashboard Data'!$D$92:$D$122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 of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Calories (kcal)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 Progress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Data'!C126</f>
            </strRef>
          </tx>
          <spPr>
            <a:ln w="25000">
              <a:solidFill>
                <a:srgbClr val="3B82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Data'!$B$127:$B$146</f>
            </numRef>
          </cat>
          <val>
            <numRef>
              <f>'Dashboard Data'!$C$127:$C$146</f>
            </numRef>
          </val>
        </ser>
        <ser>
          <idx val="1"/>
          <order val="1"/>
          <tx>
            <strRef>
              <f>'Dashboard Data'!D126</f>
            </strRef>
          </tx>
          <spPr>
            <a:ln w="18000">
              <a:solidFill>
                <a:srgbClr val="F59E0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Data'!$B$127:$B$146</f>
            </numRef>
          </cat>
          <val>
            <numRef>
              <f>'Dashboard Data'!$D$127:$D$146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(kg)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31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47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tabColor rgb="FFEC4899"/>
    <outlinePr summaryBelow="1" summaryRight="1"/>
    <pageSetUpPr fitToPage="0"/>
  </sheetPr>
  <dimension ref="A2:M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2" customWidth="1" style="66" min="1" max="1"/>
    <col width="12" customWidth="1" style="66" min="2" max="13"/>
  </cols>
  <sheetData>
    <row r="2" ht="30" customHeight="1" s="67">
      <c r="B2" s="68" t="inlineStr">
        <is>
          <t>Food &amp; Fitness Dashboard — October 2026</t>
        </is>
      </c>
    </row>
    <row r="3" ht="15" customHeight="1" s="67">
      <c r="B3" s="69" t="inlineStr">
        <is>
          <t>Overview of nutrition, exercise, and weight progress. Data sourced from Food Log, Exercise Log, and Weight Log tabs.</t>
        </is>
      </c>
    </row>
    <row r="5" ht="34.5" customHeight="1" s="67">
      <c r="B5" s="70">
        <f>COUNTIF('Dashboard Data'!K7:K37,"&gt;"&amp;0)</f>
        <v/>
      </c>
      <c r="D5" s="140">
        <f>IFERROR(AVERAGEIF('Dashboard Data'!D7:D37,"&gt;"&amp;0),0)</f>
        <v/>
      </c>
      <c r="F5" s="150">
        <f>IFERROR(AVERAGEIF('Dashboard Data'!E7:E37,"&gt;"&amp;0),0)</f>
        <v/>
      </c>
      <c r="H5" s="70">
        <f>IFERROR(AVERAGEIF('Dashboard Data'!J7:J37,"&gt;"&amp;0),0)</f>
        <v/>
      </c>
      <c r="J5" s="150">
        <f>IFERROR(AVERAGEIF('Dashboard Data'!G7:G37,"&gt;"&amp;0),0)</f>
        <v/>
      </c>
      <c r="L5" s="140">
        <f>'Weight Log'!C9</f>
        <v/>
      </c>
    </row>
    <row r="6" ht="15" customHeight="1" s="67">
      <c r="B6" s="73" t="inlineStr">
        <is>
          <t>Days Logged</t>
        </is>
      </c>
      <c r="D6" s="73" t="inlineStr">
        <is>
          <t>Avg Health Score</t>
        </is>
      </c>
      <c r="F6" s="73" t="inlineStr">
        <is>
          <t>Avg Protein/day</t>
        </is>
      </c>
      <c r="H6" s="73" t="inlineStr">
        <is>
          <t>Avg Calories/day</t>
        </is>
      </c>
      <c r="J6" s="73" t="inlineStr">
        <is>
          <t>Avg Fibre/day</t>
        </is>
      </c>
      <c r="L6" s="73" t="inlineStr">
        <is>
          <t>Current Weight</t>
        </is>
      </c>
    </row>
    <row r="8" ht="16.15" customHeight="1" s="67">
      <c r="B8" s="74" t="inlineStr">
        <is>
          <t>Weight Goal</t>
        </is>
      </c>
      <c r="E8" s="74" t="inlineStr">
        <is>
          <t>Nutrition vs Ideal</t>
        </is>
      </c>
      <c r="J8" s="74" t="inlineStr">
        <is>
          <t>Exercise This Month</t>
        </is>
      </c>
    </row>
    <row r="9" ht="15" customHeight="1" s="67">
      <c r="B9" s="75" t="inlineStr">
        <is>
          <t>Start</t>
        </is>
      </c>
      <c r="C9" s="76">
        <f>'Weight Log'!C6</f>
        <v/>
      </c>
      <c r="E9" s="77" t="inlineStr">
        <is>
          <t>Nutrient</t>
        </is>
      </c>
      <c r="F9" s="77" t="inlineStr">
        <is>
          <t>Yours</t>
        </is>
      </c>
      <c r="G9" s="77" t="inlineStr">
        <is>
          <t>Ideal</t>
        </is>
      </c>
      <c r="H9" s="77" t="inlineStr">
        <is>
          <t>% Met</t>
        </is>
      </c>
      <c r="J9" s="75" t="inlineStr">
        <is>
          <t>Total Calories Burned</t>
        </is>
      </c>
      <c r="K9" s="78">
        <f>SUM('Dashboard Data'!D42:D72)</f>
        <v/>
      </c>
    </row>
    <row r="10" ht="15" customHeight="1" s="67">
      <c r="A10" s="79" t="n"/>
      <c r="B10" s="80" t="inlineStr">
        <is>
          <t>Target</t>
        </is>
      </c>
      <c r="C10" s="80">
        <f>'Weight Log'!C7</f>
        <v/>
      </c>
      <c r="D10" s="80" t="n"/>
      <c r="E10" s="80">
        <f>'Dashboard Data'!C77</f>
        <v/>
      </c>
      <c r="F10" s="141">
        <f>'Dashboard Data'!D77</f>
        <v/>
      </c>
      <c r="G10" s="82">
        <f>'Dashboard Data'!E77</f>
        <v/>
      </c>
      <c r="H10" s="83">
        <f>'Dashboard Data'!F77</f>
        <v/>
      </c>
      <c r="J10" s="75" t="inlineStr">
        <is>
          <t>Total Duration (min)</t>
        </is>
      </c>
      <c r="K10" s="78">
        <f>SUM('Dashboard Data'!E42:E72)</f>
        <v/>
      </c>
    </row>
    <row r="11" ht="15" customHeight="1" s="67">
      <c r="A11" s="84" t="n"/>
      <c r="B11" s="85" t="inlineStr">
        <is>
          <t>Current</t>
        </is>
      </c>
      <c r="C11" s="142">
        <f>'Weight Log'!C9</f>
        <v/>
      </c>
      <c r="D11" s="85" t="n"/>
      <c r="E11" s="85">
        <f>'Dashboard Data'!C78</f>
        <v/>
      </c>
      <c r="F11" s="142">
        <f>'Dashboard Data'!D78</f>
        <v/>
      </c>
      <c r="G11" s="87">
        <f>'Dashboard Data'!E78</f>
        <v/>
      </c>
      <c r="H11" s="88">
        <f>'Dashboard Data'!F78</f>
        <v/>
      </c>
      <c r="J11" s="75" t="inlineStr">
        <is>
          <t>Total Steps</t>
        </is>
      </c>
      <c r="K11" s="89">
        <f>SUM('Dashboard Data'!F42:F72)</f>
        <v/>
      </c>
    </row>
    <row r="12" ht="15" customHeight="1" s="67">
      <c r="A12" s="79" t="n"/>
      <c r="B12" s="80" t="inlineStr">
        <is>
          <t>Change</t>
        </is>
      </c>
      <c r="C12" s="90">
        <f>'Weight Log'!C10</f>
        <v/>
      </c>
      <c r="D12" s="80" t="n"/>
      <c r="E12" s="80">
        <f>'Dashboard Data'!C79</f>
        <v/>
      </c>
      <c r="F12" s="141">
        <f>'Dashboard Data'!D79</f>
        <v/>
      </c>
      <c r="G12" s="82">
        <f>'Dashboard Data'!E79</f>
        <v/>
      </c>
      <c r="H12" s="83">
        <f>'Dashboard Data'!F79</f>
        <v/>
      </c>
      <c r="J12" s="75" t="inlineStr">
        <is>
          <t>Active Days</t>
        </is>
      </c>
      <c r="K12" s="78">
        <f>COUNTIF('Dashboard Data'!D42:D72,"&gt;"&amp;0)</f>
        <v/>
      </c>
    </row>
    <row r="13" ht="15" customHeight="1" s="67">
      <c r="A13" s="84" t="n"/>
      <c r="B13" s="85" t="inlineStr">
        <is>
          <t>Progress</t>
        </is>
      </c>
      <c r="C13" s="88">
        <f>'Weight Log'!C11</f>
        <v/>
      </c>
      <c r="D13" s="85" t="n"/>
      <c r="E13" s="85">
        <f>'Dashboard Data'!C80</f>
        <v/>
      </c>
      <c r="F13" s="142">
        <f>'Dashboard Data'!D80</f>
        <v/>
      </c>
      <c r="G13" s="87">
        <f>'Dashboard Data'!E80</f>
        <v/>
      </c>
      <c r="H13" s="88">
        <f>'Dashboard Data'!F80</f>
        <v/>
      </c>
    </row>
    <row r="14" ht="15" customHeight="1" s="67">
      <c r="A14" s="79" t="n"/>
      <c r="B14" s="80" t="n"/>
      <c r="C14" s="80" t="n"/>
      <c r="D14" s="80" t="n"/>
      <c r="E14" s="80">
        <f>'Dashboard Data'!C81</f>
        <v/>
      </c>
      <c r="F14" s="141">
        <f>'Dashboard Data'!D81</f>
        <v/>
      </c>
      <c r="G14" s="82">
        <f>'Dashboard Data'!E81</f>
        <v/>
      </c>
      <c r="H14" s="83">
        <f>'Dashboard Data'!F81</f>
        <v/>
      </c>
    </row>
    <row r="15">
      <c r="B15" s="91" t="inlineStr"/>
    </row>
    <row r="16" ht="16.15" customHeight="1" s="67">
      <c r="B16" s="92" t="n"/>
      <c r="C16" s="93" t="n"/>
      <c r="D16" s="93" t="n"/>
      <c r="E16" s="93" t="n"/>
      <c r="F16" s="93" t="n"/>
      <c r="G16" s="92" t="n"/>
      <c r="H16" s="93" t="n"/>
      <c r="I16" s="93" t="n"/>
      <c r="J16" s="93" t="n"/>
      <c r="K16" s="93" t="n"/>
      <c r="L16" s="93" t="n"/>
      <c r="M16" s="93" t="n"/>
    </row>
    <row r="17" ht="15" customHeight="1" s="67">
      <c r="B17" s="92" t="n"/>
      <c r="C17" s="92" t="n"/>
      <c r="D17" s="92" t="n"/>
      <c r="E17" s="92" t="n"/>
      <c r="F17" s="93" t="n"/>
      <c r="G17" s="92" t="n"/>
      <c r="H17" s="92" t="n"/>
      <c r="I17" s="92" t="n"/>
      <c r="J17" s="93" t="n"/>
      <c r="K17" s="93" t="n"/>
      <c r="L17" s="93" t="n"/>
      <c r="M17" s="93" t="n"/>
    </row>
    <row r="18" ht="15" customHeight="1" s="67">
      <c r="B18" s="92" t="n"/>
      <c r="C18" s="94" t="n"/>
      <c r="D18" s="92" t="n"/>
      <c r="E18" s="92" t="n"/>
      <c r="F18" s="93" t="n"/>
      <c r="G18" s="95" t="n"/>
      <c r="H18" s="143" t="n"/>
      <c r="I18" s="143" t="n"/>
      <c r="J18" s="93" t="n"/>
      <c r="K18" s="93" t="n"/>
      <c r="L18" s="93" t="n"/>
      <c r="M18" s="93" t="n"/>
    </row>
    <row r="19" ht="15" customHeight="1" s="67">
      <c r="B19" s="92" t="n"/>
      <c r="C19" s="94" t="n"/>
      <c r="D19" s="92" t="n"/>
      <c r="E19" s="92" t="n"/>
      <c r="F19" s="93" t="n"/>
      <c r="G19" s="95" t="n"/>
      <c r="H19" s="143" t="n"/>
      <c r="I19" s="143" t="n"/>
      <c r="J19" s="93" t="n"/>
      <c r="K19" s="93" t="n"/>
      <c r="L19" s="93" t="n"/>
      <c r="M19" s="93" t="n"/>
    </row>
    <row r="20" ht="15" customHeight="1" s="67">
      <c r="B20" s="92" t="n"/>
      <c r="C20" s="94" t="n"/>
      <c r="D20" s="92" t="n"/>
      <c r="E20" s="92" t="n"/>
      <c r="F20" s="93" t="n"/>
      <c r="G20" s="95" t="n"/>
      <c r="H20" s="143" t="n"/>
      <c r="I20" s="143" t="n"/>
      <c r="J20" s="93" t="n"/>
      <c r="K20" s="93" t="n"/>
      <c r="L20" s="93" t="n"/>
      <c r="M20" s="93" t="n"/>
    </row>
    <row r="21" ht="15" customHeight="1" s="67">
      <c r="B21" s="92" t="n"/>
      <c r="C21" s="94" t="n"/>
      <c r="D21" s="92" t="n"/>
      <c r="E21" s="92" t="n"/>
      <c r="F21" s="93" t="n"/>
      <c r="G21" s="95" t="n"/>
      <c r="H21" s="143" t="n"/>
      <c r="I21" s="143" t="n"/>
      <c r="J21" s="93" t="n"/>
      <c r="K21" s="93" t="n"/>
      <c r="L21" s="93" t="n"/>
      <c r="M21" s="93" t="n"/>
    </row>
    <row r="22" ht="15" customHeight="1" s="67">
      <c r="B22" s="92" t="n"/>
      <c r="C22" s="94" t="n"/>
      <c r="D22" s="92" t="n"/>
      <c r="E22" s="92" t="n"/>
      <c r="F22" s="93" t="n"/>
      <c r="G22" s="95" t="n"/>
      <c r="H22" s="143" t="n"/>
      <c r="I22" s="143" t="n"/>
      <c r="J22" s="93" t="n"/>
      <c r="K22" s="93" t="n"/>
      <c r="L22" s="93" t="n"/>
      <c r="M22" s="93" t="n"/>
    </row>
    <row r="23" ht="15" customHeight="1" s="67">
      <c r="B23" s="92" t="n"/>
      <c r="C23" s="94" t="n"/>
      <c r="D23" s="92" t="n"/>
      <c r="E23" s="92" t="n"/>
      <c r="F23" s="93" t="n"/>
      <c r="G23" s="95" t="n"/>
      <c r="H23" s="143" t="n"/>
      <c r="I23" s="143" t="n"/>
      <c r="J23" s="93" t="n"/>
      <c r="K23" s="93" t="n"/>
      <c r="L23" s="93" t="n"/>
      <c r="M23" s="93" t="n"/>
    </row>
    <row r="24" ht="15" customHeight="1" s="67">
      <c r="B24" s="92" t="n"/>
      <c r="C24" s="94" t="n"/>
      <c r="D24" s="92" t="n"/>
      <c r="E24" s="92" t="n"/>
      <c r="F24" s="93" t="n"/>
      <c r="G24" s="95" t="n"/>
      <c r="H24" s="143" t="n"/>
      <c r="I24" s="143" t="n"/>
      <c r="J24" s="93" t="n"/>
      <c r="K24" s="93" t="n"/>
      <c r="L24" s="93" t="n"/>
      <c r="M24" s="93" t="n"/>
    </row>
    <row r="25" ht="15" customHeight="1" s="67">
      <c r="B25" s="92" t="n"/>
      <c r="C25" s="94" t="n"/>
      <c r="D25" s="92" t="n"/>
      <c r="E25" s="92" t="n"/>
      <c r="F25" s="93" t="n"/>
      <c r="G25" s="95" t="n"/>
      <c r="H25" s="143" t="n"/>
      <c r="I25" s="143" t="n"/>
      <c r="J25" s="93" t="n"/>
      <c r="K25" s="93" t="n"/>
      <c r="L25" s="93" t="n"/>
      <c r="M25" s="93" t="n"/>
    </row>
    <row r="26" ht="15" customHeight="1" s="67">
      <c r="B26" s="92" t="n"/>
      <c r="C26" s="94" t="n"/>
      <c r="D26" s="92" t="n"/>
      <c r="E26" s="92" t="n"/>
      <c r="F26" s="93" t="n"/>
      <c r="G26" s="95" t="n"/>
      <c r="H26" s="143" t="n"/>
      <c r="I26" s="143" t="n"/>
      <c r="J26" s="93" t="n"/>
      <c r="K26" s="93" t="n"/>
      <c r="L26" s="93" t="n"/>
      <c r="M26" s="93" t="n"/>
    </row>
    <row r="27" ht="15" customHeight="1" s="67">
      <c r="B27" s="92" t="n"/>
      <c r="C27" s="94" t="n"/>
      <c r="D27" s="92" t="n"/>
      <c r="E27" s="92" t="n"/>
      <c r="F27" s="93" t="n"/>
      <c r="G27" s="95" t="n"/>
      <c r="H27" s="143" t="n"/>
      <c r="I27" s="143" t="n"/>
      <c r="J27" s="93" t="n"/>
      <c r="K27" s="93" t="n"/>
      <c r="L27" s="93" t="n"/>
      <c r="M27" s="93" t="n"/>
    </row>
    <row r="28" ht="15" customHeight="1" s="67">
      <c r="B28" s="92" t="n"/>
      <c r="C28" s="94" t="n"/>
      <c r="D28" s="92" t="n"/>
      <c r="E28" s="92" t="n"/>
      <c r="F28" s="93" t="n"/>
      <c r="G28" s="95" t="n"/>
      <c r="H28" s="143" t="n"/>
      <c r="I28" s="143" t="n"/>
      <c r="J28" s="93" t="n"/>
      <c r="K28" s="93" t="n"/>
      <c r="L28" s="93" t="n"/>
      <c r="M28" s="93" t="n"/>
    </row>
    <row r="29" ht="15" customHeight="1" s="67">
      <c r="B29" s="92" t="n"/>
      <c r="C29" s="94" t="n"/>
      <c r="D29" s="92" t="n"/>
      <c r="E29" s="92" t="n"/>
      <c r="F29" s="93" t="n"/>
      <c r="G29" s="95" t="n"/>
      <c r="H29" s="143" t="n"/>
      <c r="I29" s="143" t="n"/>
      <c r="J29" s="93" t="n"/>
      <c r="K29" s="93" t="n"/>
      <c r="L29" s="93" t="n"/>
      <c r="M29" s="93" t="n"/>
    </row>
    <row r="30" ht="15" customHeight="1" s="67">
      <c r="B30" s="92" t="n"/>
      <c r="C30" s="94" t="n"/>
      <c r="D30" s="92" t="n"/>
      <c r="E30" s="92" t="n"/>
      <c r="F30" s="93" t="n"/>
      <c r="G30" s="95" t="n"/>
      <c r="H30" s="143" t="n"/>
      <c r="I30" s="143" t="n"/>
      <c r="J30" s="93" t="n"/>
      <c r="K30" s="93" t="n"/>
      <c r="L30" s="93" t="n"/>
      <c r="M30" s="93" t="n"/>
    </row>
    <row r="31" ht="15" customHeight="1" s="67">
      <c r="B31" s="92" t="n"/>
      <c r="C31" s="94" t="n"/>
      <c r="D31" s="92" t="n"/>
      <c r="E31" s="92" t="n"/>
      <c r="F31" s="93" t="n"/>
      <c r="G31" s="95" t="n"/>
      <c r="H31" s="143" t="n"/>
      <c r="I31" s="143" t="n"/>
      <c r="J31" s="93" t="n"/>
      <c r="K31" s="93" t="n"/>
      <c r="L31" s="93" t="n"/>
      <c r="M31" s="93" t="n"/>
    </row>
    <row r="32" ht="15" customHeight="1" s="67">
      <c r="B32" s="92" t="n"/>
      <c r="C32" s="94" t="n"/>
      <c r="D32" s="92" t="n"/>
      <c r="E32" s="92" t="n"/>
      <c r="F32" s="93" t="n"/>
      <c r="G32" s="95" t="n"/>
      <c r="H32" s="143" t="n"/>
      <c r="I32" s="143" t="n"/>
      <c r="J32" s="93" t="n"/>
      <c r="K32" s="93" t="n"/>
      <c r="L32" s="93" t="n"/>
      <c r="M32" s="93" t="n"/>
    </row>
    <row r="33" ht="15" customHeight="1" s="67">
      <c r="B33" s="92" t="n"/>
      <c r="C33" s="94" t="n"/>
      <c r="D33" s="92" t="n"/>
      <c r="E33" s="92" t="n"/>
      <c r="F33" s="93" t="n"/>
      <c r="G33" s="95" t="n"/>
      <c r="H33" s="143" t="n"/>
      <c r="I33" s="143" t="n"/>
      <c r="J33" s="93" t="n"/>
      <c r="K33" s="93" t="n"/>
      <c r="L33" s="93" t="n"/>
      <c r="M33" s="93" t="n"/>
    </row>
    <row r="34" ht="15" customHeight="1" s="67">
      <c r="B34" s="92" t="n"/>
      <c r="C34" s="94" t="n"/>
      <c r="D34" s="92" t="n"/>
      <c r="E34" s="92" t="n"/>
      <c r="F34" s="93" t="n"/>
      <c r="G34" s="95" t="n"/>
      <c r="H34" s="143" t="n"/>
      <c r="I34" s="143" t="n"/>
      <c r="J34" s="93" t="n"/>
      <c r="K34" s="93" t="n"/>
      <c r="L34" s="93" t="n"/>
      <c r="M34" s="93" t="n"/>
    </row>
    <row r="35" ht="15" customHeight="1" s="67">
      <c r="B35" s="92" t="n"/>
      <c r="C35" s="94" t="n"/>
      <c r="D35" s="92" t="n"/>
      <c r="E35" s="92" t="n"/>
      <c r="F35" s="93" t="n"/>
      <c r="G35" s="95" t="n"/>
      <c r="H35" s="143" t="n"/>
      <c r="I35" s="143" t="n"/>
      <c r="J35" s="93" t="n"/>
      <c r="K35" s="93" t="n"/>
      <c r="L35" s="93" t="n"/>
      <c r="M35" s="93" t="n"/>
    </row>
    <row r="36" ht="15" customHeight="1" s="67">
      <c r="B36" s="92" t="n"/>
      <c r="C36" s="94" t="n"/>
      <c r="D36" s="92" t="n"/>
      <c r="E36" s="92" t="n"/>
      <c r="F36" s="93" t="n"/>
      <c r="G36" s="95" t="n"/>
      <c r="H36" s="143" t="n"/>
      <c r="I36" s="143" t="n"/>
      <c r="J36" s="93" t="n"/>
      <c r="K36" s="93" t="n"/>
      <c r="L36" s="93" t="n"/>
      <c r="M36" s="93" t="n"/>
    </row>
    <row r="37" ht="15" customHeight="1" s="67">
      <c r="B37" s="92" t="n"/>
      <c r="C37" s="94" t="n"/>
      <c r="D37" s="92" t="n"/>
      <c r="E37" s="92" t="n"/>
      <c r="F37" s="93" t="n"/>
      <c r="G37" s="95" t="n"/>
      <c r="H37" s="143" t="n"/>
      <c r="I37" s="143" t="n"/>
      <c r="J37" s="93" t="n"/>
      <c r="K37" s="93" t="n"/>
      <c r="L37" s="93" t="n"/>
      <c r="M37" s="93" t="n"/>
    </row>
    <row r="38" ht="15" customHeight="1" s="67">
      <c r="B38" s="92" t="n"/>
      <c r="C38" s="94" t="n"/>
      <c r="D38" s="92" t="n"/>
      <c r="E38" s="92" t="n"/>
      <c r="F38" s="93" t="n"/>
      <c r="G38" s="93" t="n"/>
      <c r="H38" s="93" t="n"/>
      <c r="I38" s="93" t="n"/>
      <c r="J38" s="93" t="n"/>
      <c r="K38" s="93" t="n"/>
      <c r="L38" s="93" t="n"/>
      <c r="M38" s="93" t="n"/>
    </row>
    <row r="39" ht="15" customHeight="1" s="67">
      <c r="B39" s="92" t="n"/>
      <c r="C39" s="94" t="n"/>
      <c r="D39" s="92" t="n"/>
      <c r="E39" s="92" t="n"/>
      <c r="F39" s="93" t="n"/>
      <c r="G39" s="93" t="n"/>
      <c r="H39" s="93" t="n"/>
      <c r="I39" s="93" t="n"/>
      <c r="J39" s="93" t="n"/>
      <c r="K39" s="93" t="n"/>
      <c r="L39" s="93" t="n"/>
      <c r="M39" s="93" t="n"/>
    </row>
    <row r="40" ht="15" customHeight="1" s="67">
      <c r="B40" s="92" t="n"/>
      <c r="C40" s="94" t="n"/>
      <c r="D40" s="92" t="n"/>
      <c r="E40" s="92" t="n"/>
      <c r="F40" s="93" t="n"/>
      <c r="G40" s="93" t="n"/>
      <c r="H40" s="93" t="n"/>
      <c r="I40" s="93" t="n"/>
      <c r="J40" s="93" t="n"/>
      <c r="K40" s="93" t="n"/>
      <c r="L40" s="93" t="n"/>
      <c r="M40" s="93" t="n"/>
    </row>
    <row r="41" ht="15" customHeight="1" s="67">
      <c r="B41" s="92" t="n"/>
      <c r="C41" s="94" t="n"/>
      <c r="D41" s="92" t="n"/>
      <c r="E41" s="92" t="n"/>
      <c r="F41" s="93" t="n"/>
      <c r="G41" s="93" t="n"/>
      <c r="H41" s="93" t="n"/>
      <c r="I41" s="93" t="n"/>
      <c r="J41" s="93" t="n"/>
      <c r="K41" s="93" t="n"/>
      <c r="L41" s="93" t="n"/>
      <c r="M41" s="93" t="n"/>
    </row>
    <row r="42" ht="15" customHeight="1" s="67">
      <c r="B42" s="92" t="n"/>
      <c r="C42" s="94" t="n"/>
      <c r="D42" s="92" t="n"/>
      <c r="E42" s="92" t="n"/>
      <c r="F42" s="93" t="n"/>
      <c r="G42" s="93" t="n"/>
      <c r="H42" s="93" t="n"/>
      <c r="I42" s="93" t="n"/>
      <c r="J42" s="93" t="n"/>
      <c r="K42" s="93" t="n"/>
      <c r="L42" s="93" t="n"/>
      <c r="M42" s="93" t="n"/>
    </row>
    <row r="43" ht="15" customHeight="1" s="67">
      <c r="B43" s="92" t="n"/>
      <c r="C43" s="94" t="n"/>
      <c r="D43" s="92" t="n"/>
      <c r="E43" s="92" t="n"/>
      <c r="F43" s="93" t="n"/>
      <c r="G43" s="93" t="n"/>
      <c r="H43" s="93" t="n"/>
      <c r="I43" s="93" t="n"/>
      <c r="J43" s="93" t="n"/>
      <c r="K43" s="93" t="n"/>
      <c r="L43" s="93" t="n"/>
      <c r="M43" s="93" t="n"/>
    </row>
    <row r="44" ht="15" customHeight="1" s="67">
      <c r="B44" s="92" t="n"/>
      <c r="C44" s="94" t="n"/>
      <c r="D44" s="92" t="n"/>
      <c r="E44" s="92" t="n"/>
      <c r="F44" s="93" t="n"/>
      <c r="G44" s="93" t="n"/>
      <c r="H44" s="93" t="n"/>
      <c r="I44" s="93" t="n"/>
      <c r="J44" s="93" t="n"/>
      <c r="K44" s="93" t="n"/>
      <c r="L44" s="93" t="n"/>
      <c r="M44" s="93" t="n"/>
    </row>
    <row r="45" ht="15" customHeight="1" s="67">
      <c r="B45" s="92" t="n"/>
      <c r="C45" s="94" t="n"/>
      <c r="D45" s="92" t="n"/>
      <c r="E45" s="92" t="n"/>
      <c r="F45" s="93" t="n"/>
      <c r="G45" s="93" t="n"/>
      <c r="H45" s="93" t="n"/>
      <c r="I45" s="93" t="n"/>
      <c r="J45" s="93" t="n"/>
      <c r="K45" s="93" t="n"/>
      <c r="L45" s="93" t="n"/>
      <c r="M45" s="93" t="n"/>
    </row>
    <row r="46" ht="15" customHeight="1" s="67">
      <c r="B46" s="92" t="n"/>
      <c r="C46" s="94" t="n"/>
      <c r="D46" s="92" t="n"/>
      <c r="E46" s="92" t="n"/>
      <c r="F46" s="93" t="n"/>
      <c r="G46" s="93" t="n"/>
      <c r="H46" s="93" t="n"/>
      <c r="I46" s="93" t="n"/>
      <c r="J46" s="93" t="n"/>
      <c r="K46" s="93" t="n"/>
      <c r="L46" s="93" t="n"/>
      <c r="M46" s="93" t="n"/>
    </row>
    <row r="47" ht="15" customHeight="1" s="67">
      <c r="B47" s="92" t="n"/>
      <c r="C47" s="94" t="n"/>
      <c r="D47" s="92" t="n"/>
      <c r="E47" s="92" t="n"/>
      <c r="F47" s="93" t="n"/>
      <c r="G47" s="93" t="n"/>
      <c r="H47" s="93" t="n"/>
      <c r="I47" s="93" t="n"/>
      <c r="J47" s="93" t="n"/>
      <c r="K47" s="93" t="n"/>
      <c r="L47" s="93" t="n"/>
      <c r="M47" s="93" t="n"/>
    </row>
    <row r="48" ht="15" customHeight="1" s="67">
      <c r="B48" s="92" t="n"/>
      <c r="C48" s="94" t="n"/>
      <c r="D48" s="92" t="n"/>
      <c r="E48" s="92" t="n"/>
      <c r="F48" s="93" t="n"/>
      <c r="G48" s="93" t="n"/>
      <c r="H48" s="93" t="n"/>
      <c r="I48" s="93" t="n"/>
      <c r="J48" s="93" t="n"/>
      <c r="K48" s="93" t="n"/>
      <c r="L48" s="93" t="n"/>
      <c r="M48" s="93" t="n"/>
    </row>
    <row r="49">
      <c r="B49" s="93" t="n"/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93" t="n"/>
      <c r="M49" s="93" t="n"/>
    </row>
  </sheetData>
  <mergeCells count="14">
    <mergeCell ref="D6:E6"/>
    <mergeCell ref="B6:C6"/>
    <mergeCell ref="B2:M2"/>
    <mergeCell ref="H6:I6"/>
    <mergeCell ref="B3:M3"/>
    <mergeCell ref="J5:K5"/>
    <mergeCell ref="J6:K6"/>
    <mergeCell ref="B5:C5"/>
    <mergeCell ref="L6:M6"/>
    <mergeCell ref="F5:G5"/>
    <mergeCell ref="D5:E5"/>
    <mergeCell ref="H5:I5"/>
    <mergeCell ref="F6:G6"/>
    <mergeCell ref="L5:M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10B981"/>
    <outlinePr summaryBelow="1" summaryRight="1"/>
    <pageSetUpPr fitToPage="0"/>
  </sheetPr>
  <dimension ref="A2:L1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baseColWidth="8" defaultColWidth="8.59765625" defaultRowHeight="15" zeroHeight="0" outlineLevelRow="0"/>
  <cols>
    <col width="2" customWidth="1" style="66" min="1" max="1"/>
    <col width="13" customWidth="1" style="66" min="2" max="2"/>
    <col width="12" customWidth="1" style="66" min="3" max="3"/>
    <col width="30" customWidth="1" style="66" min="4" max="4"/>
    <col width="12" customWidth="1" style="66" min="5" max="5"/>
    <col width="10" customWidth="1" style="66" min="6" max="9"/>
    <col width="11" customWidth="1" style="66" min="10" max="11"/>
    <col width="25" customWidth="1" style="66" min="12" max="12"/>
  </cols>
  <sheetData>
    <row r="2" ht="19.7" customHeight="1" s="67">
      <c r="B2" s="97" t="inlineStr">
        <is>
          <t>Food Log — October 2026</t>
        </is>
      </c>
    </row>
    <row r="3" ht="15" customHeight="1" s="67">
      <c r="B3" s="69" t="inlineStr">
        <is>
          <t>Log every meal below. The cron job will estimate Protein, Carbs, Fibre, Vitamins, and Calories from the Food Item.</t>
        </is>
      </c>
    </row>
    <row r="5" ht="15" customHeight="1" s="67">
      <c r="B5" s="98" t="inlineStr">
        <is>
          <t>Healthiness (1-5): 1 = Junk/fried · 2 = Mostly unhealthy · 3 = Mixed/okay · 4 = Mostly healthy · 5 = Very healthy/home-cooked    |    Vitamins (1-5): 1 = No fruit/veg · 3 = Some · 5 = Very vitamin-rich</t>
        </is>
      </c>
    </row>
    <row r="6" ht="15" customHeight="1" s="67">
      <c r="B6" s="99" t="n"/>
    </row>
    <row r="7" ht="26.85" customHeight="1" s="67">
      <c r="A7" s="100" t="n"/>
      <c r="B7" s="100" t="inlineStr">
        <is>
          <t>Date</t>
        </is>
      </c>
      <c r="C7" s="100" t="inlineStr">
        <is>
          <t>Meal</t>
        </is>
      </c>
      <c r="D7" s="100" t="inlineStr">
        <is>
          <t>Food Item</t>
        </is>
      </c>
      <c r="E7" s="100" t="inlineStr">
        <is>
          <t>Healthiness
(1-5)</t>
        </is>
      </c>
      <c r="F7" s="100" t="inlineStr">
        <is>
          <t>Protein
(g)</t>
        </is>
      </c>
      <c r="G7" s="100" t="inlineStr">
        <is>
          <t>Carbs
(g)</t>
        </is>
      </c>
      <c r="H7" s="100" t="inlineStr">
        <is>
          <t>Fibre
(g)</t>
        </is>
      </c>
      <c r="I7" s="100" t="inlineStr">
        <is>
          <t>Fat
(g)</t>
        </is>
      </c>
      <c r="J7" s="100" t="inlineStr">
        <is>
          <t>Vitamins
(1-5)</t>
        </is>
      </c>
      <c r="K7" s="100" t="inlineStr">
        <is>
          <t>Calories
(kcal)</t>
        </is>
      </c>
      <c r="L7" s="100" t="inlineStr">
        <is>
          <t>Notes</t>
        </is>
      </c>
    </row>
    <row r="8" ht="15" customHeight="1" s="67">
      <c r="A8" s="79" t="n"/>
      <c r="B8" s="101" t="n">
        <v>46296</v>
      </c>
      <c r="C8" s="102" t="inlineStr">
        <is>
          <t>Breakfast</t>
        </is>
      </c>
      <c r="D8" s="102" t="inlineStr">
        <is>
          <t>Poha with peanuts &amp; vegetables</t>
        </is>
      </c>
      <c r="E8" s="80" t="n">
        <v>4</v>
      </c>
      <c r="F8" s="80" t="n">
        <v>8</v>
      </c>
      <c r="G8" s="80" t="n">
        <v>42</v>
      </c>
      <c r="H8" s="80" t="n">
        <v>5</v>
      </c>
      <c r="I8" s="80" t="n">
        <v>6</v>
      </c>
      <c r="J8" s="80" t="n">
        <v>3</v>
      </c>
      <c r="K8" s="80" t="n">
        <v>290</v>
      </c>
      <c r="L8" s="102" t="n"/>
    </row>
    <row r="9" ht="15" customHeight="1" s="67">
      <c r="A9" s="84" t="n"/>
      <c r="B9" s="101" t="n">
        <v>46296</v>
      </c>
      <c r="C9" s="102" t="inlineStr">
        <is>
          <t>Lunch</t>
        </is>
      </c>
      <c r="D9" s="102" t="inlineStr">
        <is>
          <t>Dal tadka, jeera rice, bhindi sabzi</t>
        </is>
      </c>
      <c r="E9" s="85" t="n">
        <v>5</v>
      </c>
      <c r="F9" s="85" t="n">
        <v>16</v>
      </c>
      <c r="G9" s="85" t="n">
        <v>68</v>
      </c>
      <c r="H9" s="85" t="n">
        <v>9</v>
      </c>
      <c r="I9" s="85" t="n">
        <v>8</v>
      </c>
      <c r="J9" s="85" t="n">
        <v>4</v>
      </c>
      <c r="K9" s="85" t="n">
        <v>520</v>
      </c>
      <c r="L9" s="102" t="inlineStr">
        <is>
          <t>Home cooked</t>
        </is>
      </c>
    </row>
    <row r="10" ht="15" customHeight="1" s="67">
      <c r="A10" s="79" t="n"/>
      <c r="B10" s="101" t="n">
        <v>46296</v>
      </c>
      <c r="C10" s="102" t="inlineStr">
        <is>
          <t>Snack</t>
        </is>
      </c>
      <c r="D10" s="102" t="inlineStr">
        <is>
          <t>Chai + 2 parle-g biscuits</t>
        </is>
      </c>
      <c r="E10" s="80" t="n">
        <v>2</v>
      </c>
      <c r="F10" s="80" t="n">
        <v>2</v>
      </c>
      <c r="G10" s="80" t="n">
        <v>18</v>
      </c>
      <c r="H10" s="80" t="n">
        <v>0</v>
      </c>
      <c r="I10" s="80" t="n">
        <v>3</v>
      </c>
      <c r="J10" s="80" t="n">
        <v>1</v>
      </c>
      <c r="K10" s="80" t="n">
        <v>120</v>
      </c>
      <c r="L10" s="102" t="n"/>
    </row>
    <row r="11" ht="15" customHeight="1" s="67">
      <c r="A11" s="84" t="n"/>
      <c r="B11" s="101" t="n">
        <v>46296</v>
      </c>
      <c r="C11" s="102" t="inlineStr">
        <is>
          <t>Dinner</t>
        </is>
      </c>
      <c r="D11" s="102" t="inlineStr">
        <is>
          <t>Paneer butter masala, 2 roti</t>
        </is>
      </c>
      <c r="E11" s="85" t="n">
        <v>3</v>
      </c>
      <c r="F11" s="85" t="n">
        <v>18</v>
      </c>
      <c r="G11" s="85" t="n">
        <v>55</v>
      </c>
      <c r="H11" s="85" t="n">
        <v>4</v>
      </c>
      <c r="I11" s="85" t="n">
        <v>16</v>
      </c>
      <c r="J11" s="85" t="n">
        <v>2</v>
      </c>
      <c r="K11" s="85" t="n">
        <v>580</v>
      </c>
      <c r="L11" s="102" t="inlineStr">
        <is>
          <t>Swiggy order</t>
        </is>
      </c>
    </row>
    <row r="12" ht="15" customHeight="1" s="67">
      <c r="A12" s="79" t="n"/>
      <c r="B12" s="101" t="n">
        <v>46297</v>
      </c>
      <c r="C12" s="102" t="inlineStr">
        <is>
          <t>Breakfast</t>
        </is>
      </c>
      <c r="D12" s="102" t="inlineStr">
        <is>
          <t>Idli (3) with sambar &amp; chutney</t>
        </is>
      </c>
      <c r="E12" s="80" t="n">
        <v>5</v>
      </c>
      <c r="F12" s="80" t="n">
        <v>9</v>
      </c>
      <c r="G12" s="80" t="n">
        <v>52</v>
      </c>
      <c r="H12" s="80" t="n">
        <v>6</v>
      </c>
      <c r="I12" s="80" t="n">
        <v>3</v>
      </c>
      <c r="J12" s="80" t="n">
        <v>3</v>
      </c>
      <c r="K12" s="80" t="n">
        <v>310</v>
      </c>
      <c r="L12" s="102" t="n"/>
    </row>
    <row r="13" ht="15" customHeight="1" s="67">
      <c r="A13" s="84" t="n"/>
      <c r="B13" s="101" t="n">
        <v>46297</v>
      </c>
      <c r="C13" s="102" t="inlineStr">
        <is>
          <t>Lunch</t>
        </is>
      </c>
      <c r="D13" s="102" t="inlineStr">
        <is>
          <t>Chicken curry, rice, raita</t>
        </is>
      </c>
      <c r="E13" s="85" t="n">
        <v>4</v>
      </c>
      <c r="F13" s="85" t="n">
        <v>28</v>
      </c>
      <c r="G13" s="85" t="n">
        <v>72</v>
      </c>
      <c r="H13" s="85" t="n">
        <v>4</v>
      </c>
      <c r="I13" s="85" t="n">
        <v>14</v>
      </c>
      <c r="J13" s="85" t="n">
        <v>3</v>
      </c>
      <c r="K13" s="85" t="n">
        <v>650</v>
      </c>
      <c r="L13" s="102" t="inlineStr">
        <is>
          <t>Home cooked</t>
        </is>
      </c>
    </row>
    <row r="14" ht="15" customHeight="1" s="67">
      <c r="A14" s="79" t="n"/>
      <c r="B14" s="101" t="n">
        <v>46297</v>
      </c>
      <c r="C14" s="102" t="inlineStr">
        <is>
          <t>Snack</t>
        </is>
      </c>
      <c r="D14" s="102" t="inlineStr">
        <is>
          <t>Apple + handful of almonds</t>
        </is>
      </c>
      <c r="E14" s="80" t="n">
        <v>5</v>
      </c>
      <c r="F14" s="80" t="n">
        <v>6</v>
      </c>
      <c r="G14" s="80" t="n">
        <v>18</v>
      </c>
      <c r="H14" s="80" t="n">
        <v>4</v>
      </c>
      <c r="I14" s="80" t="n">
        <v>14</v>
      </c>
      <c r="J14" s="80" t="n">
        <v>5</v>
      </c>
      <c r="K14" s="80" t="n">
        <v>220</v>
      </c>
      <c r="L14" s="102" t="n"/>
    </row>
    <row r="15" ht="15" customHeight="1" s="67">
      <c r="A15" s="84" t="n"/>
      <c r="B15" s="101" t="n">
        <v>46297</v>
      </c>
      <c r="C15" s="102" t="inlineStr">
        <is>
          <t>Dinner</t>
        </is>
      </c>
      <c r="D15" s="102" t="inlineStr">
        <is>
          <t>Egg fried rice, manchurian</t>
        </is>
      </c>
      <c r="E15" s="85" t="n">
        <v>2</v>
      </c>
      <c r="F15" s="85" t="n">
        <v>14</v>
      </c>
      <c r="G15" s="85" t="n">
        <v>78</v>
      </c>
      <c r="H15" s="85" t="n">
        <v>3</v>
      </c>
      <c r="I15" s="85" t="n">
        <v>18</v>
      </c>
      <c r="J15" s="85" t="n">
        <v>2</v>
      </c>
      <c r="K15" s="85" t="n">
        <v>720</v>
      </c>
      <c r="L15" s="102" t="inlineStr">
        <is>
          <t>Street food</t>
        </is>
      </c>
    </row>
    <row r="16" ht="15" customHeight="1" s="67">
      <c r="A16" s="79" t="n"/>
      <c r="B16" s="101" t="n">
        <v>46298</v>
      </c>
      <c r="C16" s="102" t="inlineStr">
        <is>
          <t>Breakfast</t>
        </is>
      </c>
      <c r="D16" s="102" t="inlineStr">
        <is>
          <t>Masala dosa + filter coffee</t>
        </is>
      </c>
      <c r="E16" s="80" t="n">
        <v>4</v>
      </c>
      <c r="F16" s="80" t="n">
        <v>7</v>
      </c>
      <c r="G16" s="80" t="n">
        <v>48</v>
      </c>
      <c r="H16" s="80" t="n">
        <v>3</v>
      </c>
      <c r="I16" s="80" t="n">
        <v>8</v>
      </c>
      <c r="J16" s="80" t="n">
        <v>2</v>
      </c>
      <c r="K16" s="80" t="n">
        <v>350</v>
      </c>
      <c r="L16" s="102" t="n"/>
    </row>
    <row r="17" ht="15" customHeight="1" s="67">
      <c r="A17" s="84" t="n"/>
      <c r="B17" s="101" t="n">
        <v>46298</v>
      </c>
      <c r="C17" s="102" t="inlineStr">
        <is>
          <t>Lunch</t>
        </is>
      </c>
      <c r="D17" s="102" t="inlineStr">
        <is>
          <t>Rajma chawal, salad</t>
        </is>
      </c>
      <c r="E17" s="85" t="n">
        <v>5</v>
      </c>
      <c r="F17" s="85" t="n">
        <v>14</v>
      </c>
      <c r="G17" s="85" t="n">
        <v>65</v>
      </c>
      <c r="H17" s="85" t="n">
        <v>12</v>
      </c>
      <c r="I17" s="85" t="n">
        <v>6</v>
      </c>
      <c r="J17" s="85" t="n">
        <v>4</v>
      </c>
      <c r="K17" s="85" t="n">
        <v>480</v>
      </c>
      <c r="L17" s="102" t="inlineStr">
        <is>
          <t>Home cooked</t>
        </is>
      </c>
    </row>
    <row r="18" ht="15" customHeight="1" s="67">
      <c r="A18" s="79" t="n"/>
      <c r="B18" s="101" t="n">
        <v>46298</v>
      </c>
      <c r="C18" s="102" t="inlineStr">
        <is>
          <t>Dinner</t>
        </is>
      </c>
      <c r="D18" s="102" t="inlineStr">
        <is>
          <t>Maggi noodles + boiled egg</t>
        </is>
      </c>
      <c r="E18" s="80" t="n">
        <v>2</v>
      </c>
      <c r="F18" s="80" t="n">
        <v>10</v>
      </c>
      <c r="G18" s="80" t="n">
        <v>52</v>
      </c>
      <c r="H18" s="80" t="n">
        <v>2</v>
      </c>
      <c r="I18" s="80" t="n">
        <v>8</v>
      </c>
      <c r="J18" s="80" t="n">
        <v>1</v>
      </c>
      <c r="K18" s="80" t="n">
        <v>420</v>
      </c>
      <c r="L18" s="102" t="inlineStr">
        <is>
          <t>Late night</t>
        </is>
      </c>
    </row>
    <row r="19" ht="15" customHeight="1" s="67">
      <c r="A19" s="84" t="n"/>
      <c r="B19" s="101" t="n">
        <v>46299</v>
      </c>
      <c r="C19" s="102" t="inlineStr">
        <is>
          <t>Breakfast</t>
        </is>
      </c>
      <c r="D19" s="102" t="inlineStr">
        <is>
          <t>Upma with vegetables</t>
        </is>
      </c>
      <c r="E19" s="85" t="n">
        <v>4</v>
      </c>
      <c r="F19" s="85" t="n">
        <v>6</v>
      </c>
      <c r="G19" s="85" t="n">
        <v>38</v>
      </c>
      <c r="H19" s="85" t="n">
        <v>4</v>
      </c>
      <c r="I19" s="85" t="n">
        <v>5</v>
      </c>
      <c r="J19" s="85" t="n">
        <v>3</v>
      </c>
      <c r="K19" s="85" t="n">
        <v>260</v>
      </c>
      <c r="L19" s="102" t="n"/>
    </row>
    <row r="20" ht="15" customHeight="1" s="67">
      <c r="A20" s="79" t="n"/>
      <c r="B20" s="101" t="n">
        <v>46299</v>
      </c>
      <c r="C20" s="102" t="inlineStr">
        <is>
          <t>Lunch</t>
        </is>
      </c>
      <c r="D20" s="102" t="inlineStr">
        <is>
          <t>Chole, 2 bhature, onion</t>
        </is>
      </c>
      <c r="E20" s="80" t="n">
        <v>2</v>
      </c>
      <c r="F20" s="80" t="n">
        <v>12</v>
      </c>
      <c r="G20" s="80" t="n">
        <v>85</v>
      </c>
      <c r="H20" s="80" t="n">
        <v>8</v>
      </c>
      <c r="I20" s="80" t="n">
        <v>22</v>
      </c>
      <c r="J20" s="80" t="n">
        <v>2</v>
      </c>
      <c r="K20" s="80" t="n">
        <v>780</v>
      </c>
      <c r="L20" s="102" t="inlineStr">
        <is>
          <t>Restaurant</t>
        </is>
      </c>
    </row>
    <row r="21" ht="15" customHeight="1" s="67">
      <c r="A21" s="84" t="n"/>
      <c r="B21" s="101" t="n">
        <v>46299</v>
      </c>
      <c r="C21" s="102" t="inlineStr">
        <is>
          <t>Snack</t>
        </is>
      </c>
      <c r="D21" s="102" t="inlineStr">
        <is>
          <t>Samosa (2) + chai</t>
        </is>
      </c>
      <c r="E21" s="85" t="n">
        <v>1</v>
      </c>
      <c r="F21" s="85" t="n">
        <v>4</v>
      </c>
      <c r="G21" s="85" t="n">
        <v>35</v>
      </c>
      <c r="H21" s="85" t="n">
        <v>2</v>
      </c>
      <c r="I21" s="85" t="n">
        <v>16</v>
      </c>
      <c r="J21" s="85" t="n">
        <v>1</v>
      </c>
      <c r="K21" s="85" t="n">
        <v>380</v>
      </c>
      <c r="L21" s="102" t="n"/>
    </row>
    <row r="22" ht="15" customHeight="1" s="67">
      <c r="A22" s="79" t="n"/>
      <c r="B22" s="101" t="n">
        <v>46299</v>
      </c>
      <c r="C22" s="102" t="inlineStr">
        <is>
          <t>Dinner</t>
        </is>
      </c>
      <c r="D22" s="102" t="inlineStr">
        <is>
          <t>Grilled chicken salad, soup</t>
        </is>
      </c>
      <c r="E22" s="80" t="n">
        <v>5</v>
      </c>
      <c r="F22" s="80" t="n">
        <v>32</v>
      </c>
      <c r="G22" s="80" t="n">
        <v>20</v>
      </c>
      <c r="H22" s="80" t="n">
        <v>6</v>
      </c>
      <c r="I22" s="80" t="n">
        <v>8</v>
      </c>
      <c r="J22" s="80" t="n">
        <v>5</v>
      </c>
      <c r="K22" s="80" t="n">
        <v>350</v>
      </c>
      <c r="L22" s="102" t="inlineStr">
        <is>
          <t>Home cooked</t>
        </is>
      </c>
    </row>
    <row r="23" ht="15" customHeight="1" s="67">
      <c r="A23" s="84" t="n"/>
      <c r="B23" s="101" t="n">
        <v>46300</v>
      </c>
      <c r="C23" s="102" t="inlineStr">
        <is>
          <t>Breakfast</t>
        </is>
      </c>
      <c r="D23" s="102" t="inlineStr">
        <is>
          <t>Oats porridge with banana, honey</t>
        </is>
      </c>
      <c r="E23" s="85" t="n">
        <v>5</v>
      </c>
      <c r="F23" s="85" t="n">
        <v>10</v>
      </c>
      <c r="G23" s="85" t="n">
        <v>55</v>
      </c>
      <c r="H23" s="85" t="n">
        <v>6</v>
      </c>
      <c r="I23" s="85" t="n">
        <v>4</v>
      </c>
      <c r="J23" s="85" t="n">
        <v>4</v>
      </c>
      <c r="K23" s="85" t="n">
        <v>320</v>
      </c>
      <c r="L23" s="102" t="n"/>
    </row>
    <row r="24" ht="15" customHeight="1" s="67">
      <c r="A24" s="79" t="n"/>
      <c r="B24" s="101" t="n">
        <v>46300</v>
      </c>
      <c r="C24" s="102" t="inlineStr">
        <is>
          <t>Lunch</t>
        </is>
      </c>
      <c r="D24" s="102" t="inlineStr">
        <is>
          <t>Fish curry, rice, cabbage sabzi</t>
        </is>
      </c>
      <c r="E24" s="80" t="n">
        <v>5</v>
      </c>
      <c r="F24" s="80" t="n">
        <v>26</v>
      </c>
      <c r="G24" s="80" t="n">
        <v>62</v>
      </c>
      <c r="H24" s="80" t="n">
        <v>5</v>
      </c>
      <c r="I24" s="80" t="n">
        <v>10</v>
      </c>
      <c r="J24" s="80" t="n">
        <v>4</v>
      </c>
      <c r="K24" s="80" t="n">
        <v>540</v>
      </c>
      <c r="L24" s="102" t="inlineStr">
        <is>
          <t>Home cooked</t>
        </is>
      </c>
    </row>
    <row r="25" ht="15" customHeight="1" s="67">
      <c r="A25" s="84" t="n"/>
      <c r="B25" s="101" t="n">
        <v>46300</v>
      </c>
      <c r="C25" s="102" t="inlineStr">
        <is>
          <t>Dinner</t>
        </is>
      </c>
      <c r="D25" s="102" t="inlineStr">
        <is>
          <t>Roti, dal fry, aloo gobi</t>
        </is>
      </c>
      <c r="E25" s="85" t="n">
        <v>4</v>
      </c>
      <c r="F25" s="85" t="n">
        <v>12</v>
      </c>
      <c r="G25" s="85" t="n">
        <v>58</v>
      </c>
      <c r="H25" s="85" t="n">
        <v>7</v>
      </c>
      <c r="I25" s="85" t="n">
        <v>8</v>
      </c>
      <c r="J25" s="85" t="n">
        <v>3</v>
      </c>
      <c r="K25" s="85" t="n">
        <v>450</v>
      </c>
      <c r="L25" s="102" t="inlineStr">
        <is>
          <t>Home cooked</t>
        </is>
      </c>
    </row>
    <row r="26" ht="15" customHeight="1" s="67">
      <c r="A26" s="79" t="n"/>
      <c r="B26" s="101" t="n">
        <v>46301</v>
      </c>
      <c r="C26" s="102" t="inlineStr">
        <is>
          <t>Breakfast</t>
        </is>
      </c>
      <c r="D26" s="102" t="inlineStr">
        <is>
          <t>Bread omelette (2 eggs)</t>
        </is>
      </c>
      <c r="E26" s="80" t="n">
        <v>3</v>
      </c>
      <c r="F26" s="80" t="n">
        <v>14</v>
      </c>
      <c r="G26" s="80" t="n">
        <v>28</v>
      </c>
      <c r="H26" s="80" t="n">
        <v>1</v>
      </c>
      <c r="I26" s="80" t="n">
        <v>12</v>
      </c>
      <c r="J26" s="80" t="n">
        <v>2</v>
      </c>
      <c r="K26" s="80" t="n">
        <v>320</v>
      </c>
      <c r="L26" s="102" t="n"/>
    </row>
    <row r="27" ht="15" customHeight="1" s="67">
      <c r="A27" s="84" t="n"/>
      <c r="B27" s="101" t="n">
        <v>46301</v>
      </c>
      <c r="C27" s="102" t="inlineStr">
        <is>
          <t>Lunch</t>
        </is>
      </c>
      <c r="D27" s="102" t="inlineStr">
        <is>
          <t>Biryani (mutton), raita</t>
        </is>
      </c>
      <c r="E27" s="85" t="n">
        <v>3</v>
      </c>
      <c r="F27" s="85" t="n">
        <v>24</v>
      </c>
      <c r="G27" s="85" t="n">
        <v>78</v>
      </c>
      <c r="H27" s="85" t="n">
        <v>3</v>
      </c>
      <c r="I27" s="85" t="n">
        <v>18</v>
      </c>
      <c r="J27" s="85" t="n">
        <v>2</v>
      </c>
      <c r="K27" s="85" t="n">
        <v>750</v>
      </c>
      <c r="L27" s="102" t="inlineStr">
        <is>
          <t>Ordered in</t>
        </is>
      </c>
    </row>
    <row r="28" ht="15" customHeight="1" s="67">
      <c r="A28" s="79" t="n"/>
      <c r="B28" s="101" t="n">
        <v>46301</v>
      </c>
      <c r="C28" s="102" t="inlineStr">
        <is>
          <t>Snack</t>
        </is>
      </c>
      <c r="D28" s="102" t="inlineStr">
        <is>
          <t>Cold coffee (sweetened)</t>
        </is>
      </c>
      <c r="E28" s="80" t="n">
        <v>2</v>
      </c>
      <c r="F28" s="80" t="n">
        <v>4</v>
      </c>
      <c r="G28" s="80" t="n">
        <v>32</v>
      </c>
      <c r="H28" s="80" t="n">
        <v>0</v>
      </c>
      <c r="I28" s="80" t="n">
        <v>6</v>
      </c>
      <c r="J28" s="80" t="n">
        <v>1</v>
      </c>
      <c r="K28" s="80" t="n">
        <v>220</v>
      </c>
      <c r="L28" s="102" t="inlineStr">
        <is>
          <t>Cafe</t>
        </is>
      </c>
    </row>
    <row r="29" ht="15" customHeight="1" s="67">
      <c r="A29" s="84" t="n"/>
      <c r="B29" s="101" t="n">
        <v>46301</v>
      </c>
      <c r="C29" s="102" t="inlineStr">
        <is>
          <t>Dinner</t>
        </is>
      </c>
      <c r="D29" s="102" t="inlineStr">
        <is>
          <t>Pizza (2 slices) + garlic bread</t>
        </is>
      </c>
      <c r="E29" s="85" t="n">
        <v>1</v>
      </c>
      <c r="F29" s="85" t="n">
        <v>14</v>
      </c>
      <c r="G29" s="85" t="n">
        <v>72</v>
      </c>
      <c r="H29" s="85" t="n">
        <v>2</v>
      </c>
      <c r="I29" s="85" t="n">
        <v>20</v>
      </c>
      <c r="J29" s="85" t="n">
        <v>1</v>
      </c>
      <c r="K29" s="85" t="n">
        <v>680</v>
      </c>
      <c r="L29" s="102" t="inlineStr">
        <is>
          <t>Dominos</t>
        </is>
      </c>
    </row>
    <row r="30" ht="15" customHeight="1" s="67">
      <c r="A30" s="79" t="n"/>
      <c r="B30" s="101" t="n">
        <v>46302</v>
      </c>
      <c r="C30" s="102" t="inlineStr">
        <is>
          <t>Breakfast</t>
        </is>
      </c>
      <c r="D30" s="102" t="inlineStr">
        <is>
          <t>Besan chilla with mint chutney</t>
        </is>
      </c>
      <c r="E30" s="80" t="n">
        <v>4</v>
      </c>
      <c r="F30" s="80" t="n">
        <v>10</v>
      </c>
      <c r="G30" s="80" t="n">
        <v>22</v>
      </c>
      <c r="H30" s="80" t="n">
        <v>4</v>
      </c>
      <c r="I30" s="80" t="n">
        <v>6</v>
      </c>
      <c r="J30" s="80" t="n">
        <v>3</v>
      </c>
      <c r="K30" s="80" t="n">
        <v>220</v>
      </c>
      <c r="L30" s="102" t="n"/>
    </row>
    <row r="31" ht="15" customHeight="1" s="67">
      <c r="A31" s="84" t="n"/>
      <c r="B31" s="101" t="n">
        <v>46302</v>
      </c>
      <c r="C31" s="102" t="inlineStr">
        <is>
          <t>Lunch</t>
        </is>
      </c>
      <c r="D31" s="102" t="inlineStr">
        <is>
          <t>Palak paneer, rice, dal</t>
        </is>
      </c>
      <c r="E31" s="85" t="n">
        <v>5</v>
      </c>
      <c r="F31" s="85" t="n">
        <v>20</v>
      </c>
      <c r="G31" s="85" t="n">
        <v>62</v>
      </c>
      <c r="H31" s="85" t="n">
        <v>8</v>
      </c>
      <c r="I31" s="85" t="n">
        <v>12</v>
      </c>
      <c r="J31" s="85" t="n">
        <v>5</v>
      </c>
      <c r="K31" s="85" t="n">
        <v>540</v>
      </c>
      <c r="L31" s="102" t="inlineStr">
        <is>
          <t>Home cooked</t>
        </is>
      </c>
    </row>
    <row r="32" ht="15" customHeight="1" s="67">
      <c r="A32" s="79" t="n"/>
      <c r="B32" s="101" t="n">
        <v>46302</v>
      </c>
      <c r="C32" s="102" t="inlineStr">
        <is>
          <t>Snack</t>
        </is>
      </c>
      <c r="D32" s="102" t="inlineStr">
        <is>
          <t>Sprouts chaat</t>
        </is>
      </c>
      <c r="E32" s="80" t="n">
        <v>5</v>
      </c>
      <c r="F32" s="80" t="n">
        <v>8</v>
      </c>
      <c r="G32" s="80" t="n">
        <v>18</v>
      </c>
      <c r="H32" s="80" t="n">
        <v>6</v>
      </c>
      <c r="I32" s="80" t="n">
        <v>2</v>
      </c>
      <c r="J32" s="80" t="n">
        <v>4</v>
      </c>
      <c r="K32" s="80" t="n">
        <v>140</v>
      </c>
      <c r="L32" s="102" t="n"/>
    </row>
    <row r="33" ht="15" customHeight="1" s="67">
      <c r="A33" s="84" t="n"/>
      <c r="B33" s="101" t="n">
        <v>46302</v>
      </c>
      <c r="C33" s="102" t="inlineStr">
        <is>
          <t>Dinner</t>
        </is>
      </c>
      <c r="D33" s="102" t="inlineStr">
        <is>
          <t>Khichdi with ghee, papad</t>
        </is>
      </c>
      <c r="E33" s="85" t="n">
        <v>4</v>
      </c>
      <c r="F33" s="85" t="n">
        <v>10</v>
      </c>
      <c r="G33" s="85" t="n">
        <v>52</v>
      </c>
      <c r="H33" s="85" t="n">
        <v>5</v>
      </c>
      <c r="I33" s="85" t="n">
        <v>10</v>
      </c>
      <c r="J33" s="85" t="n">
        <v>3</v>
      </c>
      <c r="K33" s="85" t="n">
        <v>380</v>
      </c>
      <c r="L33" s="102" t="inlineStr">
        <is>
          <t>Light dinner</t>
        </is>
      </c>
    </row>
    <row r="34" ht="15" customHeight="1" s="67">
      <c r="B34" s="103" t="n"/>
      <c r="C34" s="103" t="n"/>
      <c r="D34" s="103" t="n"/>
      <c r="E34" s="104" t="n"/>
      <c r="F34" s="104" t="n"/>
      <c r="G34" s="104" t="n"/>
      <c r="H34" s="104" t="n"/>
      <c r="I34" s="104" t="n"/>
      <c r="J34" s="104" t="n"/>
      <c r="K34" s="104" t="n"/>
      <c r="L34" s="103" t="n"/>
    </row>
    <row r="35" ht="15" customHeight="1" s="67">
      <c r="B35" s="103" t="n"/>
      <c r="C35" s="103" t="n"/>
      <c r="D35" s="103" t="n"/>
      <c r="E35" s="104" t="n"/>
      <c r="F35" s="104" t="n"/>
      <c r="G35" s="104" t="n"/>
      <c r="H35" s="104" t="n"/>
      <c r="I35" s="104" t="n"/>
      <c r="J35" s="104" t="n"/>
      <c r="K35" s="104" t="n"/>
      <c r="L35" s="103" t="n"/>
    </row>
    <row r="36" ht="15" customHeight="1" s="67">
      <c r="B36" s="103" t="n"/>
      <c r="C36" s="103" t="n"/>
      <c r="D36" s="103" t="n"/>
      <c r="E36" s="104" t="n"/>
      <c r="F36" s="104" t="n"/>
      <c r="G36" s="104" t="n"/>
      <c r="H36" s="104" t="n"/>
      <c r="I36" s="104" t="n"/>
      <c r="J36" s="104" t="n"/>
      <c r="K36" s="104" t="n"/>
      <c r="L36" s="103" t="n"/>
    </row>
    <row r="37" ht="15" customHeight="1" s="67">
      <c r="B37" s="103" t="n"/>
      <c r="C37" s="103" t="n"/>
      <c r="D37" s="103" t="n"/>
      <c r="E37" s="104" t="n"/>
      <c r="F37" s="104" t="n"/>
      <c r="G37" s="104" t="n"/>
      <c r="H37" s="104" t="n"/>
      <c r="I37" s="104" t="n"/>
      <c r="J37" s="104" t="n"/>
      <c r="K37" s="104" t="n"/>
      <c r="L37" s="103" t="n"/>
    </row>
    <row r="38" ht="15" customHeight="1" s="67">
      <c r="B38" s="103" t="n"/>
      <c r="C38" s="103" t="n"/>
      <c r="D38" s="103" t="n"/>
      <c r="E38" s="104" t="n"/>
      <c r="F38" s="104" t="n"/>
      <c r="G38" s="104" t="n"/>
      <c r="H38" s="104" t="n"/>
      <c r="I38" s="104" t="n"/>
      <c r="J38" s="104" t="n"/>
      <c r="K38" s="104" t="n"/>
      <c r="L38" s="103" t="n"/>
    </row>
    <row r="39" ht="15" customHeight="1" s="67">
      <c r="B39" s="103" t="n"/>
      <c r="C39" s="103" t="n"/>
      <c r="D39" s="103" t="n"/>
      <c r="E39" s="104" t="n"/>
      <c r="F39" s="104" t="n"/>
      <c r="G39" s="104" t="n"/>
      <c r="H39" s="104" t="n"/>
      <c r="I39" s="104" t="n"/>
      <c r="J39" s="104" t="n"/>
      <c r="K39" s="104" t="n"/>
      <c r="L39" s="103" t="n"/>
    </row>
    <row r="40" ht="15" customHeight="1" s="67">
      <c r="B40" s="103" t="n"/>
      <c r="C40" s="103" t="n"/>
      <c r="D40" s="103" t="n"/>
      <c r="E40" s="104" t="n"/>
      <c r="F40" s="104" t="n"/>
      <c r="G40" s="104" t="n"/>
      <c r="H40" s="104" t="n"/>
      <c r="I40" s="104" t="n"/>
      <c r="J40" s="104" t="n"/>
      <c r="K40" s="104" t="n"/>
      <c r="L40" s="103" t="n"/>
    </row>
    <row r="41" ht="15" customHeight="1" s="67">
      <c r="B41" s="103" t="n"/>
      <c r="C41" s="103" t="n"/>
      <c r="D41" s="103" t="n"/>
      <c r="E41" s="104" t="n"/>
      <c r="F41" s="104" t="n"/>
      <c r="G41" s="104" t="n"/>
      <c r="H41" s="104" t="n"/>
      <c r="I41" s="104" t="n"/>
      <c r="J41" s="104" t="n"/>
      <c r="K41" s="104" t="n"/>
      <c r="L41" s="103" t="n"/>
    </row>
    <row r="42" ht="15" customHeight="1" s="67">
      <c r="B42" s="103" t="n"/>
      <c r="C42" s="103" t="n"/>
      <c r="D42" s="103" t="n"/>
      <c r="E42" s="104" t="n"/>
      <c r="F42" s="104" t="n"/>
      <c r="G42" s="104" t="n"/>
      <c r="H42" s="104" t="n"/>
      <c r="I42" s="104" t="n"/>
      <c r="J42" s="104" t="n"/>
      <c r="K42" s="104" t="n"/>
      <c r="L42" s="103" t="n"/>
    </row>
    <row r="43" ht="15" customHeight="1" s="67">
      <c r="B43" s="103" t="n"/>
      <c r="C43" s="103" t="n"/>
      <c r="D43" s="103" t="n"/>
      <c r="E43" s="104" t="n"/>
      <c r="F43" s="104" t="n"/>
      <c r="G43" s="104" t="n"/>
      <c r="H43" s="104" t="n"/>
      <c r="I43" s="104" t="n"/>
      <c r="J43" s="104" t="n"/>
      <c r="K43" s="104" t="n"/>
      <c r="L43" s="103" t="n"/>
    </row>
    <row r="44" ht="15" customHeight="1" s="67">
      <c r="B44" s="103" t="n"/>
      <c r="C44" s="103" t="n"/>
      <c r="D44" s="103" t="n"/>
      <c r="E44" s="104" t="n"/>
      <c r="F44" s="104" t="n"/>
      <c r="G44" s="104" t="n"/>
      <c r="H44" s="104" t="n"/>
      <c r="I44" s="104" t="n"/>
      <c r="J44" s="104" t="n"/>
      <c r="K44" s="104" t="n"/>
      <c r="L44" s="103" t="n"/>
    </row>
    <row r="45" ht="15" customHeight="1" s="67">
      <c r="B45" s="103" t="n"/>
      <c r="C45" s="103" t="n"/>
      <c r="D45" s="103" t="n"/>
      <c r="E45" s="104" t="n"/>
      <c r="F45" s="104" t="n"/>
      <c r="G45" s="104" t="n"/>
      <c r="H45" s="104" t="n"/>
      <c r="I45" s="104" t="n"/>
      <c r="J45" s="104" t="n"/>
      <c r="K45" s="104" t="n"/>
      <c r="L45" s="103" t="n"/>
    </row>
    <row r="46" ht="15" customHeight="1" s="67">
      <c r="B46" s="103" t="n"/>
      <c r="C46" s="103" t="n"/>
      <c r="D46" s="103" t="n"/>
      <c r="E46" s="104" t="n"/>
      <c r="F46" s="104" t="n"/>
      <c r="G46" s="104" t="n"/>
      <c r="H46" s="104" t="n"/>
      <c r="I46" s="104" t="n"/>
      <c r="J46" s="104" t="n"/>
      <c r="K46" s="104" t="n"/>
      <c r="L46" s="103" t="n"/>
    </row>
    <row r="47" ht="15" customHeight="1" s="67">
      <c r="B47" s="103" t="n"/>
      <c r="C47" s="103" t="n"/>
      <c r="D47" s="103" t="n"/>
      <c r="E47" s="104" t="n"/>
      <c r="F47" s="104" t="n"/>
      <c r="G47" s="104" t="n"/>
      <c r="H47" s="104" t="n"/>
      <c r="I47" s="104" t="n"/>
      <c r="J47" s="104" t="n"/>
      <c r="K47" s="104" t="n"/>
      <c r="L47" s="103" t="n"/>
    </row>
    <row r="48" ht="15" customHeight="1" s="67">
      <c r="B48" s="103" t="n"/>
      <c r="C48" s="103" t="n"/>
      <c r="D48" s="103" t="n"/>
      <c r="E48" s="104" t="n"/>
      <c r="F48" s="104" t="n"/>
      <c r="G48" s="104" t="n"/>
      <c r="H48" s="104" t="n"/>
      <c r="I48" s="104" t="n"/>
      <c r="J48" s="104" t="n"/>
      <c r="K48" s="104" t="n"/>
      <c r="L48" s="103" t="n"/>
    </row>
    <row r="49" ht="15" customHeight="1" s="67">
      <c r="B49" s="103" t="n"/>
      <c r="C49" s="103" t="n"/>
      <c r="D49" s="103" t="n"/>
      <c r="E49" s="104" t="n"/>
      <c r="F49" s="104" t="n"/>
      <c r="G49" s="104" t="n"/>
      <c r="H49" s="104" t="n"/>
      <c r="I49" s="104" t="n"/>
      <c r="J49" s="104" t="n"/>
      <c r="K49" s="104" t="n"/>
      <c r="L49" s="103" t="n"/>
    </row>
    <row r="50" ht="15" customHeight="1" s="67">
      <c r="B50" s="103" t="n"/>
      <c r="C50" s="103" t="n"/>
      <c r="D50" s="103" t="n"/>
      <c r="E50" s="104" t="n"/>
      <c r="F50" s="104" t="n"/>
      <c r="G50" s="104" t="n"/>
      <c r="H50" s="104" t="n"/>
      <c r="I50" s="104" t="n"/>
      <c r="J50" s="104" t="n"/>
      <c r="K50" s="104" t="n"/>
      <c r="L50" s="103" t="n"/>
    </row>
    <row r="51" ht="15" customHeight="1" s="67">
      <c r="B51" s="103" t="n"/>
      <c r="C51" s="103" t="n"/>
      <c r="D51" s="103" t="n"/>
      <c r="E51" s="104" t="n"/>
      <c r="F51" s="104" t="n"/>
      <c r="G51" s="104" t="n"/>
      <c r="H51" s="104" t="n"/>
      <c r="I51" s="104" t="n"/>
      <c r="J51" s="104" t="n"/>
      <c r="K51" s="104" t="n"/>
      <c r="L51" s="103" t="n"/>
    </row>
    <row r="52" ht="15" customHeight="1" s="67">
      <c r="B52" s="103" t="n"/>
      <c r="C52" s="103" t="n"/>
      <c r="D52" s="103" t="n"/>
      <c r="E52" s="104" t="n"/>
      <c r="F52" s="104" t="n"/>
      <c r="G52" s="104" t="n"/>
      <c r="H52" s="104" t="n"/>
      <c r="I52" s="104" t="n"/>
      <c r="J52" s="104" t="n"/>
      <c r="K52" s="104" t="n"/>
      <c r="L52" s="103" t="n"/>
    </row>
    <row r="53" ht="15" customHeight="1" s="67">
      <c r="B53" s="103" t="n"/>
      <c r="C53" s="103" t="n"/>
      <c r="D53" s="103" t="n"/>
      <c r="E53" s="104" t="n"/>
      <c r="F53" s="104" t="n"/>
      <c r="G53" s="104" t="n"/>
      <c r="H53" s="104" t="n"/>
      <c r="I53" s="104" t="n"/>
      <c r="J53" s="104" t="n"/>
      <c r="K53" s="104" t="n"/>
      <c r="L53" s="103" t="n"/>
    </row>
    <row r="54" ht="15" customHeight="1" s="67">
      <c r="B54" s="103" t="n"/>
      <c r="C54" s="103" t="n"/>
      <c r="D54" s="103" t="n"/>
      <c r="E54" s="104" t="n"/>
      <c r="F54" s="104" t="n"/>
      <c r="G54" s="104" t="n"/>
      <c r="H54" s="104" t="n"/>
      <c r="I54" s="104" t="n"/>
      <c r="J54" s="104" t="n"/>
      <c r="K54" s="104" t="n"/>
      <c r="L54" s="103" t="n"/>
    </row>
    <row r="55" ht="15" customHeight="1" s="67">
      <c r="B55" s="103" t="n"/>
      <c r="C55" s="103" t="n"/>
      <c r="D55" s="103" t="n"/>
      <c r="E55" s="104" t="n"/>
      <c r="F55" s="104" t="n"/>
      <c r="G55" s="104" t="n"/>
      <c r="H55" s="104" t="n"/>
      <c r="I55" s="104" t="n"/>
      <c r="J55" s="104" t="n"/>
      <c r="K55" s="104" t="n"/>
      <c r="L55" s="103" t="n"/>
    </row>
    <row r="56" ht="15" customHeight="1" s="67">
      <c r="B56" s="103" t="n"/>
      <c r="C56" s="103" t="n"/>
      <c r="D56" s="103" t="n"/>
      <c r="E56" s="104" t="n"/>
      <c r="F56" s="104" t="n"/>
      <c r="G56" s="104" t="n"/>
      <c r="H56" s="104" t="n"/>
      <c r="I56" s="104" t="n"/>
      <c r="J56" s="104" t="n"/>
      <c r="K56" s="104" t="n"/>
      <c r="L56" s="103" t="n"/>
    </row>
    <row r="57" ht="15" customHeight="1" s="67">
      <c r="B57" s="103" t="n"/>
      <c r="C57" s="103" t="n"/>
      <c r="D57" s="103" t="n"/>
      <c r="E57" s="104" t="n"/>
      <c r="F57" s="104" t="n"/>
      <c r="G57" s="104" t="n"/>
      <c r="H57" s="104" t="n"/>
      <c r="I57" s="104" t="n"/>
      <c r="J57" s="104" t="n"/>
      <c r="K57" s="104" t="n"/>
      <c r="L57" s="103" t="n"/>
    </row>
    <row r="58" ht="15" customHeight="1" s="67">
      <c r="B58" s="103" t="n"/>
      <c r="C58" s="103" t="n"/>
      <c r="D58" s="103" t="n"/>
      <c r="E58" s="104" t="n"/>
      <c r="F58" s="104" t="n"/>
      <c r="G58" s="104" t="n"/>
      <c r="H58" s="104" t="n"/>
      <c r="I58" s="104" t="n"/>
      <c r="J58" s="104" t="n"/>
      <c r="K58" s="104" t="n"/>
      <c r="L58" s="103" t="n"/>
    </row>
    <row r="59" ht="15" customHeight="1" s="67">
      <c r="B59" s="103" t="n"/>
      <c r="C59" s="103" t="n"/>
      <c r="D59" s="103" t="n"/>
      <c r="E59" s="104" t="n"/>
      <c r="F59" s="104" t="n"/>
      <c r="G59" s="104" t="n"/>
      <c r="H59" s="104" t="n"/>
      <c r="I59" s="104" t="n"/>
      <c r="J59" s="104" t="n"/>
      <c r="K59" s="104" t="n"/>
      <c r="L59" s="103" t="n"/>
    </row>
    <row r="60" ht="15" customHeight="1" s="67">
      <c r="B60" s="103" t="n"/>
      <c r="C60" s="103" t="n"/>
      <c r="D60" s="103" t="n"/>
      <c r="E60" s="104" t="n"/>
      <c r="F60" s="104" t="n"/>
      <c r="G60" s="104" t="n"/>
      <c r="H60" s="104" t="n"/>
      <c r="I60" s="104" t="n"/>
      <c r="J60" s="104" t="n"/>
      <c r="K60" s="104" t="n"/>
      <c r="L60" s="103" t="n"/>
    </row>
    <row r="61" ht="15" customHeight="1" s="67">
      <c r="B61" s="103" t="n"/>
      <c r="C61" s="103" t="n"/>
      <c r="D61" s="103" t="n"/>
      <c r="E61" s="104" t="n"/>
      <c r="F61" s="104" t="n"/>
      <c r="G61" s="104" t="n"/>
      <c r="H61" s="104" t="n"/>
      <c r="I61" s="104" t="n"/>
      <c r="J61" s="104" t="n"/>
      <c r="K61" s="104" t="n"/>
      <c r="L61" s="103" t="n"/>
    </row>
    <row r="62" ht="15" customHeight="1" s="67">
      <c r="B62" s="103" t="n"/>
      <c r="C62" s="103" t="n"/>
      <c r="D62" s="103" t="n"/>
      <c r="E62" s="104" t="n"/>
      <c r="F62" s="104" t="n"/>
      <c r="G62" s="104" t="n"/>
      <c r="H62" s="104" t="n"/>
      <c r="I62" s="104" t="n"/>
      <c r="J62" s="104" t="n"/>
      <c r="K62" s="104" t="n"/>
      <c r="L62" s="103" t="n"/>
    </row>
    <row r="63" ht="15" customHeight="1" s="67">
      <c r="B63" s="103" t="n"/>
      <c r="C63" s="103" t="n"/>
      <c r="D63" s="103" t="n"/>
      <c r="E63" s="104" t="n"/>
      <c r="F63" s="104" t="n"/>
      <c r="G63" s="104" t="n"/>
      <c r="H63" s="104" t="n"/>
      <c r="I63" s="104" t="n"/>
      <c r="J63" s="104" t="n"/>
      <c r="K63" s="104" t="n"/>
      <c r="L63" s="103" t="n"/>
    </row>
    <row r="64" ht="15" customHeight="1" s="67">
      <c r="B64" s="103" t="n"/>
      <c r="C64" s="103" t="n"/>
      <c r="D64" s="103" t="n"/>
      <c r="E64" s="104" t="n"/>
      <c r="F64" s="104" t="n"/>
      <c r="G64" s="104" t="n"/>
      <c r="H64" s="104" t="n"/>
      <c r="I64" s="104" t="n"/>
      <c r="J64" s="104" t="n"/>
      <c r="K64" s="104" t="n"/>
      <c r="L64" s="103" t="n"/>
    </row>
    <row r="65" ht="15" customHeight="1" s="67">
      <c r="B65" s="103" t="n"/>
      <c r="C65" s="103" t="n"/>
      <c r="D65" s="103" t="n"/>
      <c r="E65" s="104" t="n"/>
      <c r="F65" s="104" t="n"/>
      <c r="G65" s="104" t="n"/>
      <c r="H65" s="104" t="n"/>
      <c r="I65" s="104" t="n"/>
      <c r="J65" s="104" t="n"/>
      <c r="K65" s="104" t="n"/>
      <c r="L65" s="103" t="n"/>
    </row>
    <row r="66" ht="15" customHeight="1" s="67">
      <c r="B66" s="103" t="n"/>
      <c r="C66" s="103" t="n"/>
      <c r="D66" s="103" t="n"/>
      <c r="E66" s="104" t="n"/>
      <c r="F66" s="104" t="n"/>
      <c r="G66" s="104" t="n"/>
      <c r="H66" s="104" t="n"/>
      <c r="I66" s="104" t="n"/>
      <c r="J66" s="104" t="n"/>
      <c r="K66" s="104" t="n"/>
      <c r="L66" s="103" t="n"/>
    </row>
    <row r="67" ht="15" customHeight="1" s="67">
      <c r="B67" s="103" t="n"/>
      <c r="C67" s="103" t="n"/>
      <c r="D67" s="103" t="n"/>
      <c r="E67" s="104" t="n"/>
      <c r="F67" s="104" t="n"/>
      <c r="G67" s="104" t="n"/>
      <c r="H67" s="104" t="n"/>
      <c r="I67" s="104" t="n"/>
      <c r="J67" s="104" t="n"/>
      <c r="K67" s="104" t="n"/>
      <c r="L67" s="103" t="n"/>
    </row>
    <row r="68" ht="15" customHeight="1" s="67">
      <c r="B68" s="103" t="n"/>
      <c r="C68" s="103" t="n"/>
      <c r="D68" s="103" t="n"/>
      <c r="E68" s="104" t="n"/>
      <c r="F68" s="104" t="n"/>
      <c r="G68" s="104" t="n"/>
      <c r="H68" s="104" t="n"/>
      <c r="I68" s="104" t="n"/>
      <c r="J68" s="104" t="n"/>
      <c r="K68" s="104" t="n"/>
      <c r="L68" s="103" t="n"/>
    </row>
    <row r="69" ht="15" customHeight="1" s="67">
      <c r="B69" s="103" t="n"/>
      <c r="C69" s="103" t="n"/>
      <c r="D69" s="103" t="n"/>
      <c r="E69" s="104" t="n"/>
      <c r="F69" s="104" t="n"/>
      <c r="G69" s="104" t="n"/>
      <c r="H69" s="104" t="n"/>
      <c r="I69" s="104" t="n"/>
      <c r="J69" s="104" t="n"/>
      <c r="K69" s="104" t="n"/>
      <c r="L69" s="103" t="n"/>
    </row>
    <row r="70" ht="15" customHeight="1" s="67">
      <c r="B70" s="103" t="n"/>
      <c r="C70" s="103" t="n"/>
      <c r="D70" s="103" t="n"/>
      <c r="E70" s="104" t="n"/>
      <c r="F70" s="104" t="n"/>
      <c r="G70" s="104" t="n"/>
      <c r="H70" s="104" t="n"/>
      <c r="I70" s="104" t="n"/>
      <c r="J70" s="104" t="n"/>
      <c r="K70" s="104" t="n"/>
      <c r="L70" s="103" t="n"/>
    </row>
    <row r="71" ht="15" customHeight="1" s="67">
      <c r="B71" s="103" t="n"/>
      <c r="C71" s="103" t="n"/>
      <c r="D71" s="103" t="n"/>
      <c r="E71" s="104" t="n"/>
      <c r="F71" s="104" t="n"/>
      <c r="G71" s="104" t="n"/>
      <c r="H71" s="104" t="n"/>
      <c r="I71" s="104" t="n"/>
      <c r="J71" s="104" t="n"/>
      <c r="K71" s="104" t="n"/>
      <c r="L71" s="103" t="n"/>
    </row>
    <row r="72" ht="15" customHeight="1" s="67">
      <c r="B72" s="103" t="n"/>
      <c r="C72" s="103" t="n"/>
      <c r="D72" s="103" t="n"/>
      <c r="E72" s="104" t="n"/>
      <c r="F72" s="104" t="n"/>
      <c r="G72" s="104" t="n"/>
      <c r="H72" s="104" t="n"/>
      <c r="I72" s="104" t="n"/>
      <c r="J72" s="104" t="n"/>
      <c r="K72" s="104" t="n"/>
      <c r="L72" s="103" t="n"/>
    </row>
    <row r="73" ht="15" customHeight="1" s="67">
      <c r="B73" s="103" t="n"/>
      <c r="C73" s="103" t="n"/>
      <c r="D73" s="103" t="n"/>
      <c r="E73" s="104" t="n"/>
      <c r="F73" s="104" t="n"/>
      <c r="G73" s="104" t="n"/>
      <c r="H73" s="104" t="n"/>
      <c r="I73" s="104" t="n"/>
      <c r="J73" s="104" t="n"/>
      <c r="K73" s="104" t="n"/>
      <c r="L73" s="103" t="n"/>
    </row>
    <row r="74" ht="15" customHeight="1" s="67">
      <c r="B74" s="103" t="n"/>
      <c r="C74" s="103" t="n"/>
      <c r="D74" s="103" t="n"/>
      <c r="E74" s="104" t="n"/>
      <c r="F74" s="104" t="n"/>
      <c r="G74" s="104" t="n"/>
      <c r="H74" s="104" t="n"/>
      <c r="I74" s="104" t="n"/>
      <c r="J74" s="104" t="n"/>
      <c r="K74" s="104" t="n"/>
      <c r="L74" s="103" t="n"/>
    </row>
    <row r="75" ht="15" customHeight="1" s="67">
      <c r="B75" s="103" t="n"/>
      <c r="C75" s="103" t="n"/>
      <c r="D75" s="103" t="n"/>
      <c r="E75" s="104" t="n"/>
      <c r="F75" s="104" t="n"/>
      <c r="G75" s="104" t="n"/>
      <c r="H75" s="104" t="n"/>
      <c r="I75" s="104" t="n"/>
      <c r="J75" s="104" t="n"/>
      <c r="K75" s="104" t="n"/>
      <c r="L75" s="103" t="n"/>
    </row>
    <row r="76" ht="15" customHeight="1" s="67">
      <c r="B76" s="103" t="n"/>
      <c r="C76" s="103" t="n"/>
      <c r="D76" s="103" t="n"/>
      <c r="E76" s="104" t="n"/>
      <c r="F76" s="104" t="n"/>
      <c r="G76" s="104" t="n"/>
      <c r="H76" s="104" t="n"/>
      <c r="I76" s="104" t="n"/>
      <c r="J76" s="104" t="n"/>
      <c r="K76" s="104" t="n"/>
      <c r="L76" s="103" t="n"/>
    </row>
    <row r="77" ht="15" customHeight="1" s="67">
      <c r="B77" s="103" t="n"/>
      <c r="C77" s="103" t="n"/>
      <c r="D77" s="103" t="n"/>
      <c r="E77" s="104" t="n"/>
      <c r="F77" s="104" t="n"/>
      <c r="G77" s="104" t="n"/>
      <c r="H77" s="104" t="n"/>
      <c r="I77" s="104" t="n"/>
      <c r="J77" s="104" t="n"/>
      <c r="K77" s="104" t="n"/>
      <c r="L77" s="103" t="n"/>
    </row>
    <row r="78" ht="15" customHeight="1" s="67">
      <c r="B78" s="103" t="n"/>
      <c r="C78" s="103" t="n"/>
      <c r="D78" s="103" t="n"/>
      <c r="E78" s="104" t="n"/>
      <c r="F78" s="104" t="n"/>
      <c r="G78" s="104" t="n"/>
      <c r="H78" s="104" t="n"/>
      <c r="I78" s="104" t="n"/>
      <c r="J78" s="104" t="n"/>
      <c r="K78" s="104" t="n"/>
      <c r="L78" s="103" t="n"/>
    </row>
    <row r="79" ht="15" customHeight="1" s="67">
      <c r="B79" s="103" t="n"/>
      <c r="C79" s="103" t="n"/>
      <c r="D79" s="103" t="n"/>
      <c r="E79" s="104" t="n"/>
      <c r="F79" s="104" t="n"/>
      <c r="G79" s="104" t="n"/>
      <c r="H79" s="104" t="n"/>
      <c r="I79" s="104" t="n"/>
      <c r="J79" s="104" t="n"/>
      <c r="K79" s="104" t="n"/>
      <c r="L79" s="103" t="n"/>
    </row>
    <row r="80" ht="15" customHeight="1" s="67">
      <c r="B80" s="103" t="n"/>
      <c r="C80" s="103" t="n"/>
      <c r="D80" s="103" t="n"/>
      <c r="E80" s="104" t="n"/>
      <c r="F80" s="104" t="n"/>
      <c r="G80" s="104" t="n"/>
      <c r="H80" s="104" t="n"/>
      <c r="I80" s="104" t="n"/>
      <c r="J80" s="104" t="n"/>
      <c r="K80" s="104" t="n"/>
      <c r="L80" s="103" t="n"/>
    </row>
    <row r="81" ht="15" customHeight="1" s="67">
      <c r="B81" s="103" t="n"/>
      <c r="C81" s="103" t="n"/>
      <c r="D81" s="103" t="n"/>
      <c r="E81" s="104" t="n"/>
      <c r="F81" s="104" t="n"/>
      <c r="G81" s="104" t="n"/>
      <c r="H81" s="104" t="n"/>
      <c r="I81" s="104" t="n"/>
      <c r="J81" s="104" t="n"/>
      <c r="K81" s="104" t="n"/>
      <c r="L81" s="103" t="n"/>
    </row>
    <row r="82" ht="15" customHeight="1" s="67">
      <c r="B82" s="103" t="n"/>
      <c r="C82" s="103" t="n"/>
      <c r="D82" s="103" t="n"/>
      <c r="E82" s="104" t="n"/>
      <c r="F82" s="104" t="n"/>
      <c r="G82" s="104" t="n"/>
      <c r="H82" s="104" t="n"/>
      <c r="I82" s="104" t="n"/>
      <c r="J82" s="104" t="n"/>
      <c r="K82" s="104" t="n"/>
      <c r="L82" s="103" t="n"/>
    </row>
    <row r="83" ht="15" customHeight="1" s="67">
      <c r="B83" s="103" t="n"/>
      <c r="C83" s="103" t="n"/>
      <c r="D83" s="103" t="n"/>
      <c r="E83" s="104" t="n"/>
      <c r="F83" s="104" t="n"/>
      <c r="G83" s="104" t="n"/>
      <c r="H83" s="104" t="n"/>
      <c r="I83" s="104" t="n"/>
      <c r="J83" s="104" t="n"/>
      <c r="K83" s="104" t="n"/>
      <c r="L83" s="103" t="n"/>
    </row>
    <row r="84" ht="15" customHeight="1" s="67">
      <c r="B84" s="103" t="n"/>
      <c r="C84" s="103" t="n"/>
      <c r="D84" s="103" t="n"/>
      <c r="E84" s="104" t="n"/>
      <c r="F84" s="104" t="n"/>
      <c r="G84" s="104" t="n"/>
      <c r="H84" s="104" t="n"/>
      <c r="I84" s="104" t="n"/>
      <c r="J84" s="104" t="n"/>
      <c r="K84" s="104" t="n"/>
      <c r="L84" s="103" t="n"/>
    </row>
    <row r="85" ht="15" customHeight="1" s="67">
      <c r="B85" s="103" t="n"/>
      <c r="C85" s="103" t="n"/>
      <c r="D85" s="103" t="n"/>
      <c r="E85" s="104" t="n"/>
      <c r="F85" s="104" t="n"/>
      <c r="G85" s="104" t="n"/>
      <c r="H85" s="104" t="n"/>
      <c r="I85" s="104" t="n"/>
      <c r="J85" s="104" t="n"/>
      <c r="K85" s="104" t="n"/>
      <c r="L85" s="103" t="n"/>
    </row>
    <row r="86" ht="15" customHeight="1" s="67">
      <c r="B86" s="103" t="n"/>
      <c r="C86" s="103" t="n"/>
      <c r="D86" s="103" t="n"/>
      <c r="E86" s="104" t="n"/>
      <c r="F86" s="104" t="n"/>
      <c r="G86" s="104" t="n"/>
      <c r="H86" s="104" t="n"/>
      <c r="I86" s="104" t="n"/>
      <c r="J86" s="104" t="n"/>
      <c r="K86" s="104" t="n"/>
      <c r="L86" s="103" t="n"/>
    </row>
    <row r="87" ht="15" customHeight="1" s="67">
      <c r="B87" s="103" t="n"/>
      <c r="C87" s="103" t="n"/>
      <c r="D87" s="103" t="n"/>
      <c r="E87" s="104" t="n"/>
      <c r="F87" s="104" t="n"/>
      <c r="G87" s="104" t="n"/>
      <c r="H87" s="104" t="n"/>
      <c r="I87" s="104" t="n"/>
      <c r="J87" s="104" t="n"/>
      <c r="K87" s="104" t="n"/>
      <c r="L87" s="103" t="n"/>
    </row>
    <row r="88" ht="15" customHeight="1" s="67">
      <c r="B88" s="103" t="n"/>
      <c r="C88" s="103" t="n"/>
      <c r="D88" s="103" t="n"/>
      <c r="E88" s="104" t="n"/>
      <c r="F88" s="104" t="n"/>
      <c r="G88" s="104" t="n"/>
      <c r="H88" s="104" t="n"/>
      <c r="I88" s="104" t="n"/>
      <c r="J88" s="104" t="n"/>
      <c r="K88" s="104" t="n"/>
      <c r="L88" s="103" t="n"/>
    </row>
    <row r="89" ht="15" customHeight="1" s="67">
      <c r="B89" s="103" t="n"/>
      <c r="C89" s="103" t="n"/>
      <c r="D89" s="103" t="n"/>
      <c r="E89" s="104" t="n"/>
      <c r="F89" s="104" t="n"/>
      <c r="G89" s="104" t="n"/>
      <c r="H89" s="104" t="n"/>
      <c r="I89" s="104" t="n"/>
      <c r="J89" s="104" t="n"/>
      <c r="K89" s="104" t="n"/>
      <c r="L89" s="103" t="n"/>
    </row>
    <row r="90" ht="15" customHeight="1" s="67">
      <c r="B90" s="103" t="n"/>
      <c r="C90" s="103" t="n"/>
      <c r="D90" s="103" t="n"/>
      <c r="E90" s="104" t="n"/>
      <c r="F90" s="104" t="n"/>
      <c r="G90" s="104" t="n"/>
      <c r="H90" s="104" t="n"/>
      <c r="I90" s="104" t="n"/>
      <c r="J90" s="104" t="n"/>
      <c r="K90" s="104" t="n"/>
      <c r="L90" s="103" t="n"/>
    </row>
    <row r="91" ht="15" customHeight="1" s="67">
      <c r="B91" s="103" t="n"/>
      <c r="C91" s="103" t="n"/>
      <c r="D91" s="103" t="n"/>
      <c r="E91" s="104" t="n"/>
      <c r="F91" s="104" t="n"/>
      <c r="G91" s="104" t="n"/>
      <c r="H91" s="104" t="n"/>
      <c r="I91" s="104" t="n"/>
      <c r="J91" s="104" t="n"/>
      <c r="K91" s="104" t="n"/>
      <c r="L91" s="103" t="n"/>
    </row>
    <row r="92" ht="15" customHeight="1" s="67">
      <c r="B92" s="103" t="n"/>
      <c r="C92" s="103" t="n"/>
      <c r="D92" s="103" t="n"/>
      <c r="E92" s="104" t="n"/>
      <c r="F92" s="104" t="n"/>
      <c r="G92" s="104" t="n"/>
      <c r="H92" s="104" t="n"/>
      <c r="I92" s="104" t="n"/>
      <c r="J92" s="104" t="n"/>
      <c r="K92" s="104" t="n"/>
      <c r="L92" s="103" t="n"/>
    </row>
    <row r="93" ht="15" customHeight="1" s="67">
      <c r="B93" s="103" t="n"/>
      <c r="C93" s="103" t="n"/>
      <c r="D93" s="103" t="n"/>
      <c r="E93" s="104" t="n"/>
      <c r="F93" s="104" t="n"/>
      <c r="G93" s="104" t="n"/>
      <c r="H93" s="104" t="n"/>
      <c r="I93" s="104" t="n"/>
      <c r="J93" s="104" t="n"/>
      <c r="K93" s="104" t="n"/>
      <c r="L93" s="103" t="n"/>
    </row>
    <row r="94" ht="15" customHeight="1" s="67">
      <c r="B94" s="103" t="n"/>
      <c r="C94" s="103" t="n"/>
      <c r="D94" s="103" t="n"/>
      <c r="E94" s="104" t="n"/>
      <c r="F94" s="104" t="n"/>
      <c r="G94" s="104" t="n"/>
      <c r="H94" s="104" t="n"/>
      <c r="I94" s="104" t="n"/>
      <c r="J94" s="104" t="n"/>
      <c r="K94" s="104" t="n"/>
      <c r="L94" s="103" t="n"/>
    </row>
    <row r="95" ht="15" customHeight="1" s="67">
      <c r="B95" s="103" t="n"/>
      <c r="C95" s="103" t="n"/>
      <c r="D95" s="103" t="n"/>
      <c r="E95" s="104" t="n"/>
      <c r="F95" s="104" t="n"/>
      <c r="G95" s="104" t="n"/>
      <c r="H95" s="104" t="n"/>
      <c r="I95" s="104" t="n"/>
      <c r="J95" s="104" t="n"/>
      <c r="K95" s="104" t="n"/>
      <c r="L95" s="103" t="n"/>
    </row>
    <row r="96" ht="15" customHeight="1" s="67">
      <c r="B96" s="103" t="n"/>
      <c r="C96" s="103" t="n"/>
      <c r="D96" s="103" t="n"/>
      <c r="E96" s="104" t="n"/>
      <c r="F96" s="104" t="n"/>
      <c r="G96" s="104" t="n"/>
      <c r="H96" s="104" t="n"/>
      <c r="I96" s="104" t="n"/>
      <c r="J96" s="104" t="n"/>
      <c r="K96" s="104" t="n"/>
      <c r="L96" s="103" t="n"/>
    </row>
    <row r="97" ht="15" customHeight="1" s="67">
      <c r="B97" s="103" t="n"/>
      <c r="C97" s="103" t="n"/>
      <c r="D97" s="103" t="n"/>
      <c r="E97" s="104" t="n"/>
      <c r="F97" s="104" t="n"/>
      <c r="G97" s="104" t="n"/>
      <c r="H97" s="104" t="n"/>
      <c r="I97" s="104" t="n"/>
      <c r="J97" s="104" t="n"/>
      <c r="K97" s="104" t="n"/>
      <c r="L97" s="103" t="n"/>
    </row>
    <row r="98" ht="15" customHeight="1" s="67">
      <c r="B98" s="103" t="n"/>
      <c r="C98" s="103" t="n"/>
      <c r="D98" s="103" t="n"/>
      <c r="E98" s="104" t="n"/>
      <c r="F98" s="104" t="n"/>
      <c r="G98" s="104" t="n"/>
      <c r="H98" s="104" t="n"/>
      <c r="I98" s="104" t="n"/>
      <c r="J98" s="104" t="n"/>
      <c r="K98" s="104" t="n"/>
      <c r="L98" s="103" t="n"/>
    </row>
    <row r="99" ht="15" customHeight="1" s="67">
      <c r="B99" s="103" t="n"/>
      <c r="C99" s="103" t="n"/>
      <c r="D99" s="103" t="n"/>
      <c r="E99" s="104" t="n"/>
      <c r="F99" s="104" t="n"/>
      <c r="G99" s="104" t="n"/>
      <c r="H99" s="104" t="n"/>
      <c r="I99" s="104" t="n"/>
      <c r="J99" s="104" t="n"/>
      <c r="K99" s="104" t="n"/>
      <c r="L99" s="103" t="n"/>
    </row>
    <row r="100" ht="15" customHeight="1" s="67">
      <c r="B100" s="103" t="n"/>
      <c r="C100" s="103" t="n"/>
      <c r="D100" s="103" t="n"/>
      <c r="E100" s="104" t="n"/>
      <c r="F100" s="104" t="n"/>
      <c r="G100" s="104" t="n"/>
      <c r="H100" s="104" t="n"/>
      <c r="I100" s="104" t="n"/>
      <c r="J100" s="104" t="n"/>
      <c r="K100" s="104" t="n"/>
      <c r="L100" s="103" t="n"/>
    </row>
    <row r="101" ht="15" customHeight="1" s="67">
      <c r="B101" s="103" t="n"/>
      <c r="C101" s="103" t="n"/>
      <c r="D101" s="103" t="n"/>
      <c r="E101" s="104" t="n"/>
      <c r="F101" s="104" t="n"/>
      <c r="G101" s="104" t="n"/>
      <c r="H101" s="104" t="n"/>
      <c r="I101" s="104" t="n"/>
      <c r="J101" s="104" t="n"/>
      <c r="K101" s="104" t="n"/>
      <c r="L101" s="103" t="n"/>
    </row>
    <row r="102" ht="15" customHeight="1" s="67">
      <c r="B102" s="103" t="n"/>
      <c r="C102" s="103" t="n"/>
      <c r="D102" s="103" t="n"/>
      <c r="E102" s="104" t="n"/>
      <c r="F102" s="104" t="n"/>
      <c r="G102" s="104" t="n"/>
      <c r="H102" s="104" t="n"/>
      <c r="I102" s="104" t="n"/>
      <c r="J102" s="104" t="n"/>
      <c r="K102" s="104" t="n"/>
      <c r="L102" s="103" t="n"/>
    </row>
    <row r="103" ht="15" customHeight="1" s="67">
      <c r="B103" s="103" t="n"/>
      <c r="C103" s="103" t="n"/>
      <c r="D103" s="103" t="n"/>
      <c r="E103" s="104" t="n"/>
      <c r="F103" s="104" t="n"/>
      <c r="G103" s="104" t="n"/>
      <c r="H103" s="104" t="n"/>
      <c r="I103" s="104" t="n"/>
      <c r="J103" s="104" t="n"/>
      <c r="K103" s="104" t="n"/>
      <c r="L103" s="103" t="n"/>
    </row>
    <row r="104" ht="15" customHeight="1" s="67">
      <c r="B104" s="103" t="n"/>
      <c r="C104" s="103" t="n"/>
      <c r="D104" s="103" t="n"/>
      <c r="E104" s="104" t="n"/>
      <c r="F104" s="104" t="n"/>
      <c r="G104" s="104" t="n"/>
      <c r="H104" s="104" t="n"/>
      <c r="I104" s="104" t="n"/>
      <c r="J104" s="104" t="n"/>
      <c r="K104" s="104" t="n"/>
      <c r="L104" s="103" t="n"/>
    </row>
    <row r="105" ht="15" customHeight="1" s="67">
      <c r="B105" s="103" t="n"/>
      <c r="C105" s="103" t="n"/>
      <c r="D105" s="103" t="n"/>
      <c r="E105" s="104" t="n"/>
      <c r="F105" s="104" t="n"/>
      <c r="G105" s="104" t="n"/>
      <c r="H105" s="104" t="n"/>
      <c r="I105" s="104" t="n"/>
      <c r="J105" s="104" t="n"/>
      <c r="K105" s="104" t="n"/>
      <c r="L105" s="103" t="n"/>
    </row>
    <row r="106" ht="15" customHeight="1" s="67">
      <c r="B106" s="103" t="n"/>
      <c r="C106" s="103" t="n"/>
      <c r="D106" s="103" t="n"/>
      <c r="E106" s="104" t="n"/>
      <c r="F106" s="104" t="n"/>
      <c r="G106" s="104" t="n"/>
      <c r="H106" s="104" t="n"/>
      <c r="I106" s="104" t="n"/>
      <c r="J106" s="104" t="n"/>
      <c r="K106" s="104" t="n"/>
      <c r="L106" s="103" t="n"/>
    </row>
    <row r="107" ht="15" customHeight="1" s="67">
      <c r="B107" s="103" t="n"/>
      <c r="C107" s="103" t="n"/>
      <c r="D107" s="103" t="n"/>
      <c r="E107" s="104" t="n"/>
      <c r="F107" s="104" t="n"/>
      <c r="G107" s="104" t="n"/>
      <c r="H107" s="104" t="n"/>
      <c r="I107" s="104" t="n"/>
      <c r="J107" s="104" t="n"/>
      <c r="K107" s="104" t="n"/>
      <c r="L107" s="103" t="n"/>
    </row>
    <row r="108" ht="15" customHeight="1" s="67">
      <c r="B108" s="103" t="n"/>
      <c r="C108" s="103" t="n"/>
      <c r="D108" s="103" t="n"/>
      <c r="E108" s="104" t="n"/>
      <c r="F108" s="104" t="n"/>
      <c r="G108" s="104" t="n"/>
      <c r="H108" s="104" t="n"/>
      <c r="I108" s="104" t="n"/>
      <c r="J108" s="104" t="n"/>
      <c r="K108" s="104" t="n"/>
      <c r="L108" s="103" t="n"/>
    </row>
    <row r="109" ht="15" customHeight="1" s="67">
      <c r="B109" s="103" t="n"/>
      <c r="C109" s="103" t="n"/>
      <c r="D109" s="103" t="n"/>
      <c r="E109" s="104" t="n"/>
      <c r="F109" s="104" t="n"/>
      <c r="G109" s="104" t="n"/>
      <c r="H109" s="104" t="n"/>
      <c r="I109" s="104" t="n"/>
      <c r="J109" s="104" t="n"/>
      <c r="K109" s="104" t="n"/>
      <c r="L109" s="103" t="n"/>
    </row>
    <row r="110" ht="15" customHeight="1" s="67">
      <c r="B110" s="103" t="n"/>
      <c r="C110" s="103" t="n"/>
      <c r="D110" s="103" t="n"/>
      <c r="E110" s="104" t="n"/>
      <c r="F110" s="104" t="n"/>
      <c r="G110" s="104" t="n"/>
      <c r="H110" s="104" t="n"/>
      <c r="I110" s="104" t="n"/>
      <c r="J110" s="104" t="n"/>
      <c r="K110" s="104" t="n"/>
      <c r="L110" s="103" t="n"/>
    </row>
    <row r="111" ht="15" customHeight="1" s="67">
      <c r="B111" s="103" t="n"/>
      <c r="C111" s="103" t="n"/>
      <c r="D111" s="103" t="n"/>
      <c r="E111" s="104" t="n"/>
      <c r="F111" s="104" t="n"/>
      <c r="G111" s="104" t="n"/>
      <c r="H111" s="104" t="n"/>
      <c r="I111" s="104" t="n"/>
      <c r="J111" s="104" t="n"/>
      <c r="K111" s="104" t="n"/>
      <c r="L111" s="103" t="n"/>
    </row>
    <row r="112" ht="15" customHeight="1" s="67">
      <c r="B112" s="103" t="n"/>
      <c r="C112" s="103" t="n"/>
      <c r="D112" s="103" t="n"/>
      <c r="E112" s="104" t="n"/>
      <c r="F112" s="104" t="n"/>
      <c r="G112" s="104" t="n"/>
      <c r="H112" s="104" t="n"/>
      <c r="I112" s="104" t="n"/>
      <c r="J112" s="104" t="n"/>
      <c r="K112" s="104" t="n"/>
      <c r="L112" s="103" t="n"/>
    </row>
    <row r="113" ht="15" customHeight="1" s="67">
      <c r="B113" s="103" t="n"/>
      <c r="C113" s="103" t="n"/>
      <c r="D113" s="103" t="n"/>
      <c r="E113" s="104" t="n"/>
      <c r="F113" s="104" t="n"/>
      <c r="G113" s="104" t="n"/>
      <c r="H113" s="104" t="n"/>
      <c r="I113" s="104" t="n"/>
      <c r="J113" s="104" t="n"/>
      <c r="K113" s="104" t="n"/>
      <c r="L113" s="103" t="n"/>
    </row>
    <row r="114" ht="15" customHeight="1" s="67">
      <c r="B114" s="103" t="n"/>
      <c r="C114" s="103" t="n"/>
      <c r="D114" s="103" t="n"/>
      <c r="E114" s="104" t="n"/>
      <c r="F114" s="104" t="n"/>
      <c r="G114" s="104" t="n"/>
      <c r="H114" s="104" t="n"/>
      <c r="I114" s="104" t="n"/>
      <c r="J114" s="104" t="n"/>
      <c r="K114" s="104" t="n"/>
      <c r="L114" s="103" t="n"/>
    </row>
    <row r="115" ht="15" customHeight="1" s="67">
      <c r="B115" s="103" t="n"/>
      <c r="C115" s="103" t="n"/>
      <c r="D115" s="103" t="n"/>
      <c r="E115" s="104" t="n"/>
      <c r="F115" s="104" t="n"/>
      <c r="G115" s="104" t="n"/>
      <c r="H115" s="104" t="n"/>
      <c r="I115" s="104" t="n"/>
      <c r="J115" s="104" t="n"/>
      <c r="K115" s="104" t="n"/>
      <c r="L115" s="103" t="n"/>
    </row>
    <row r="116" ht="15" customHeight="1" s="67">
      <c r="B116" s="103" t="n"/>
      <c r="C116" s="103" t="n"/>
      <c r="D116" s="103" t="n"/>
      <c r="E116" s="104" t="n"/>
      <c r="F116" s="104" t="n"/>
      <c r="G116" s="104" t="n"/>
      <c r="H116" s="104" t="n"/>
      <c r="I116" s="104" t="n"/>
      <c r="J116" s="104" t="n"/>
      <c r="K116" s="104" t="n"/>
      <c r="L116" s="103" t="n"/>
    </row>
    <row r="117" ht="15" customHeight="1" s="67">
      <c r="B117" s="103" t="n"/>
      <c r="C117" s="103" t="n"/>
      <c r="D117" s="103" t="n"/>
      <c r="E117" s="104" t="n"/>
      <c r="F117" s="104" t="n"/>
      <c r="G117" s="104" t="n"/>
      <c r="H117" s="104" t="n"/>
      <c r="I117" s="104" t="n"/>
      <c r="J117" s="104" t="n"/>
      <c r="K117" s="104" t="n"/>
      <c r="L117" s="103" t="n"/>
    </row>
    <row r="118" ht="15" customHeight="1" s="67">
      <c r="B118" s="103" t="n"/>
      <c r="C118" s="103" t="n"/>
      <c r="D118" s="103" t="n"/>
      <c r="E118" s="104" t="n"/>
      <c r="F118" s="104" t="n"/>
      <c r="G118" s="104" t="n"/>
      <c r="H118" s="104" t="n"/>
      <c r="I118" s="104" t="n"/>
      <c r="J118" s="104" t="n"/>
      <c r="K118" s="104" t="n"/>
      <c r="L118" s="103" t="n"/>
    </row>
    <row r="119" ht="15" customHeight="1" s="67">
      <c r="B119" s="103" t="n"/>
      <c r="C119" s="103" t="n"/>
      <c r="D119" s="103" t="n"/>
      <c r="E119" s="104" t="n"/>
      <c r="F119" s="104" t="n"/>
      <c r="G119" s="104" t="n"/>
      <c r="H119" s="104" t="n"/>
      <c r="I119" s="104" t="n"/>
      <c r="J119" s="104" t="n"/>
      <c r="K119" s="104" t="n"/>
      <c r="L119" s="103" t="n"/>
    </row>
    <row r="120" ht="15" customHeight="1" s="67">
      <c r="B120" s="103" t="n"/>
      <c r="C120" s="103" t="n"/>
      <c r="D120" s="103" t="n"/>
      <c r="E120" s="104" t="n"/>
      <c r="F120" s="104" t="n"/>
      <c r="G120" s="104" t="n"/>
      <c r="H120" s="104" t="n"/>
      <c r="I120" s="104" t="n"/>
      <c r="J120" s="104" t="n"/>
      <c r="K120" s="104" t="n"/>
      <c r="L120" s="103" t="n"/>
    </row>
    <row r="121" ht="15" customHeight="1" s="67">
      <c r="B121" s="103" t="n"/>
      <c r="C121" s="103" t="n"/>
      <c r="D121" s="103" t="n"/>
      <c r="E121" s="104" t="n"/>
      <c r="F121" s="104" t="n"/>
      <c r="G121" s="104" t="n"/>
      <c r="H121" s="104" t="n"/>
      <c r="I121" s="104" t="n"/>
      <c r="J121" s="104" t="n"/>
      <c r="K121" s="104" t="n"/>
      <c r="L121" s="103" t="n"/>
    </row>
    <row r="122" ht="15" customHeight="1" s="67">
      <c r="B122" s="103" t="n"/>
      <c r="C122" s="103" t="n"/>
      <c r="D122" s="103" t="n"/>
      <c r="E122" s="104" t="n"/>
      <c r="F122" s="104" t="n"/>
      <c r="G122" s="104" t="n"/>
      <c r="H122" s="104" t="n"/>
      <c r="I122" s="104" t="n"/>
      <c r="J122" s="104" t="n"/>
      <c r="K122" s="104" t="n"/>
      <c r="L122" s="103" t="n"/>
    </row>
    <row r="123" ht="15" customHeight="1" s="67">
      <c r="B123" s="103" t="n"/>
      <c r="C123" s="103" t="n"/>
      <c r="D123" s="103" t="n"/>
      <c r="E123" s="104" t="n"/>
      <c r="F123" s="104" t="n"/>
      <c r="G123" s="104" t="n"/>
      <c r="H123" s="104" t="n"/>
      <c r="I123" s="104" t="n"/>
      <c r="J123" s="104" t="n"/>
      <c r="K123" s="104" t="n"/>
      <c r="L123" s="103" t="n"/>
    </row>
    <row r="124" ht="15" customHeight="1" s="67">
      <c r="B124" s="103" t="n"/>
      <c r="C124" s="103" t="n"/>
      <c r="D124" s="103" t="n"/>
      <c r="E124" s="104" t="n"/>
      <c r="F124" s="104" t="n"/>
      <c r="G124" s="104" t="n"/>
      <c r="H124" s="104" t="n"/>
      <c r="I124" s="104" t="n"/>
      <c r="J124" s="104" t="n"/>
      <c r="K124" s="104" t="n"/>
      <c r="L124" s="103" t="n"/>
    </row>
    <row r="125" ht="15" customHeight="1" s="67">
      <c r="B125" s="103" t="n"/>
      <c r="C125" s="103" t="n"/>
      <c r="D125" s="103" t="n"/>
      <c r="E125" s="104" t="n"/>
      <c r="F125" s="104" t="n"/>
      <c r="G125" s="104" t="n"/>
      <c r="H125" s="104" t="n"/>
      <c r="I125" s="104" t="n"/>
      <c r="J125" s="104" t="n"/>
      <c r="K125" s="104" t="n"/>
      <c r="L125" s="103" t="n"/>
    </row>
    <row r="126" ht="15" customHeight="1" s="67">
      <c r="B126" s="103" t="n"/>
      <c r="C126" s="103" t="n"/>
      <c r="D126" s="103" t="n"/>
      <c r="E126" s="104" t="n"/>
      <c r="F126" s="104" t="n"/>
      <c r="G126" s="104" t="n"/>
      <c r="H126" s="104" t="n"/>
      <c r="I126" s="104" t="n"/>
      <c r="J126" s="104" t="n"/>
      <c r="K126" s="104" t="n"/>
      <c r="L126" s="103" t="n"/>
    </row>
    <row r="127" ht="15" customHeight="1" s="67">
      <c r="B127" s="103" t="n"/>
      <c r="C127" s="103" t="n"/>
      <c r="D127" s="103" t="n"/>
      <c r="E127" s="104" t="n"/>
      <c r="F127" s="104" t="n"/>
      <c r="G127" s="104" t="n"/>
      <c r="H127" s="104" t="n"/>
      <c r="I127" s="104" t="n"/>
      <c r="J127" s="104" t="n"/>
      <c r="K127" s="104" t="n"/>
      <c r="L127" s="103" t="n"/>
    </row>
    <row r="128" ht="15" customHeight="1" s="67">
      <c r="B128" s="103" t="n"/>
      <c r="C128" s="103" t="n"/>
      <c r="D128" s="103" t="n"/>
      <c r="E128" s="104" t="n"/>
      <c r="F128" s="104" t="n"/>
      <c r="G128" s="104" t="n"/>
      <c r="H128" s="104" t="n"/>
      <c r="I128" s="104" t="n"/>
      <c r="J128" s="104" t="n"/>
      <c r="K128" s="104" t="n"/>
      <c r="L128" s="103" t="n"/>
    </row>
    <row r="129" ht="15" customHeight="1" s="67">
      <c r="B129" s="103" t="n"/>
      <c r="C129" s="103" t="n"/>
      <c r="D129" s="103" t="n"/>
      <c r="E129" s="104" t="n"/>
      <c r="F129" s="104" t="n"/>
      <c r="G129" s="104" t="n"/>
      <c r="H129" s="104" t="n"/>
      <c r="I129" s="104" t="n"/>
      <c r="J129" s="104" t="n"/>
      <c r="K129" s="104" t="n"/>
      <c r="L129" s="103" t="n"/>
    </row>
    <row r="130" ht="15" customHeight="1" s="67">
      <c r="B130" s="103" t="n"/>
      <c r="C130" s="103" t="n"/>
      <c r="D130" s="103" t="n"/>
      <c r="E130" s="104" t="n"/>
      <c r="F130" s="104" t="n"/>
      <c r="G130" s="104" t="n"/>
      <c r="H130" s="104" t="n"/>
      <c r="I130" s="104" t="n"/>
      <c r="J130" s="104" t="n"/>
      <c r="K130" s="104" t="n"/>
      <c r="L130" s="103" t="n"/>
    </row>
    <row r="131" ht="15" customHeight="1" s="67">
      <c r="B131" s="103" t="n"/>
      <c r="C131" s="103" t="n"/>
      <c r="D131" s="103" t="n"/>
      <c r="E131" s="104" t="n"/>
      <c r="F131" s="104" t="n"/>
      <c r="G131" s="104" t="n"/>
      <c r="H131" s="104" t="n"/>
      <c r="I131" s="104" t="n"/>
      <c r="J131" s="104" t="n"/>
      <c r="K131" s="104" t="n"/>
      <c r="L131" s="103" t="n"/>
    </row>
    <row r="132" ht="15" customHeight="1" s="67">
      <c r="B132" s="103" t="n"/>
      <c r="C132" s="103" t="n"/>
      <c r="D132" s="103" t="n"/>
      <c r="E132" s="104" t="n"/>
      <c r="F132" s="104" t="n"/>
      <c r="G132" s="104" t="n"/>
      <c r="H132" s="104" t="n"/>
      <c r="I132" s="104" t="n"/>
      <c r="J132" s="104" t="n"/>
      <c r="K132" s="104" t="n"/>
      <c r="L132" s="103" t="n"/>
    </row>
    <row r="133" ht="15" customHeight="1" s="67">
      <c r="B133" s="103" t="n"/>
      <c r="C133" s="103" t="n"/>
      <c r="D133" s="103" t="n"/>
      <c r="E133" s="104" t="n"/>
      <c r="F133" s="104" t="n"/>
      <c r="G133" s="104" t="n"/>
      <c r="H133" s="104" t="n"/>
      <c r="I133" s="104" t="n"/>
      <c r="J133" s="104" t="n"/>
      <c r="K133" s="104" t="n"/>
      <c r="L133" s="103" t="n"/>
    </row>
    <row r="134" ht="15" customHeight="1" s="67">
      <c r="B134" s="103" t="n"/>
      <c r="C134" s="103" t="n"/>
      <c r="D134" s="103" t="n"/>
      <c r="E134" s="104" t="n"/>
      <c r="F134" s="104" t="n"/>
      <c r="G134" s="104" t="n"/>
      <c r="H134" s="104" t="n"/>
      <c r="I134" s="104" t="n"/>
      <c r="J134" s="104" t="n"/>
      <c r="K134" s="104" t="n"/>
      <c r="L134" s="103" t="n"/>
    </row>
    <row r="135" ht="15" customHeight="1" s="67">
      <c r="B135" s="103" t="n"/>
      <c r="C135" s="103" t="n"/>
      <c r="D135" s="103" t="n"/>
      <c r="E135" s="104" t="n"/>
      <c r="F135" s="104" t="n"/>
      <c r="G135" s="104" t="n"/>
      <c r="H135" s="104" t="n"/>
      <c r="I135" s="104" t="n"/>
      <c r="J135" s="104" t="n"/>
      <c r="K135" s="104" t="n"/>
      <c r="L135" s="103" t="n"/>
    </row>
    <row r="136" ht="15" customHeight="1" s="67">
      <c r="B136" s="103" t="n"/>
      <c r="C136" s="103" t="n"/>
      <c r="D136" s="103" t="n"/>
      <c r="E136" s="104" t="n"/>
      <c r="F136" s="104" t="n"/>
      <c r="G136" s="104" t="n"/>
      <c r="H136" s="104" t="n"/>
      <c r="I136" s="104" t="n"/>
      <c r="J136" s="104" t="n"/>
      <c r="K136" s="104" t="n"/>
      <c r="L136" s="103" t="n"/>
    </row>
    <row r="137" ht="15" customHeight="1" s="67">
      <c r="B137" s="103" t="n"/>
      <c r="C137" s="103" t="n"/>
      <c r="D137" s="103" t="n"/>
      <c r="E137" s="104" t="n"/>
      <c r="F137" s="104" t="n"/>
      <c r="G137" s="104" t="n"/>
      <c r="H137" s="104" t="n"/>
      <c r="I137" s="104" t="n"/>
      <c r="J137" s="104" t="n"/>
      <c r="K137" s="104" t="n"/>
      <c r="L137" s="103" t="n"/>
    </row>
    <row r="138" ht="15" customHeight="1" s="67">
      <c r="B138" s="103" t="n"/>
      <c r="C138" s="103" t="n"/>
      <c r="D138" s="103" t="n"/>
      <c r="E138" s="104" t="n"/>
      <c r="F138" s="104" t="n"/>
      <c r="G138" s="104" t="n"/>
      <c r="H138" s="104" t="n"/>
      <c r="I138" s="104" t="n"/>
      <c r="J138" s="104" t="n"/>
      <c r="K138" s="104" t="n"/>
      <c r="L138" s="103" t="n"/>
    </row>
    <row r="139" ht="15" customHeight="1" s="67">
      <c r="B139" s="103" t="n"/>
      <c r="C139" s="103" t="n"/>
      <c r="D139" s="103" t="n"/>
      <c r="E139" s="104" t="n"/>
      <c r="F139" s="104" t="n"/>
      <c r="G139" s="104" t="n"/>
      <c r="H139" s="104" t="n"/>
      <c r="I139" s="104" t="n"/>
      <c r="J139" s="104" t="n"/>
      <c r="K139" s="104" t="n"/>
      <c r="L139" s="103" t="n"/>
    </row>
    <row r="140" ht="15" customHeight="1" s="67">
      <c r="B140" s="103" t="n"/>
      <c r="C140" s="103" t="n"/>
      <c r="D140" s="103" t="n"/>
      <c r="E140" s="104" t="n"/>
      <c r="F140" s="104" t="n"/>
      <c r="G140" s="104" t="n"/>
      <c r="H140" s="104" t="n"/>
      <c r="I140" s="104" t="n"/>
      <c r="J140" s="104" t="n"/>
      <c r="K140" s="104" t="n"/>
      <c r="L140" s="103" t="n"/>
    </row>
    <row r="141" ht="15" customHeight="1" s="67">
      <c r="B141" s="103" t="n"/>
      <c r="C141" s="103" t="n"/>
      <c r="D141" s="103" t="n"/>
      <c r="E141" s="104" t="n"/>
      <c r="F141" s="104" t="n"/>
      <c r="G141" s="104" t="n"/>
      <c r="H141" s="104" t="n"/>
      <c r="I141" s="104" t="n"/>
      <c r="J141" s="104" t="n"/>
      <c r="K141" s="104" t="n"/>
      <c r="L141" s="103" t="n"/>
    </row>
    <row r="142" ht="15" customHeight="1" s="67">
      <c r="B142" s="103" t="n"/>
      <c r="C142" s="103" t="n"/>
      <c r="D142" s="103" t="n"/>
      <c r="E142" s="104" t="n"/>
      <c r="F142" s="104" t="n"/>
      <c r="G142" s="104" t="n"/>
      <c r="H142" s="104" t="n"/>
      <c r="I142" s="104" t="n"/>
      <c r="J142" s="104" t="n"/>
      <c r="K142" s="104" t="n"/>
      <c r="L142" s="103" t="n"/>
    </row>
    <row r="143" ht="15" customHeight="1" s="67">
      <c r="B143" s="103" t="n"/>
      <c r="C143" s="103" t="n"/>
      <c r="D143" s="103" t="n"/>
      <c r="E143" s="104" t="n"/>
      <c r="F143" s="104" t="n"/>
      <c r="G143" s="104" t="n"/>
      <c r="H143" s="104" t="n"/>
      <c r="I143" s="104" t="n"/>
      <c r="J143" s="104" t="n"/>
      <c r="K143" s="104" t="n"/>
      <c r="L143" s="103" t="n"/>
    </row>
    <row r="144" ht="15" customHeight="1" s="67">
      <c r="B144" s="103" t="n"/>
      <c r="C144" s="103" t="n"/>
      <c r="D144" s="103" t="n"/>
      <c r="E144" s="104" t="n"/>
      <c r="F144" s="104" t="n"/>
      <c r="G144" s="104" t="n"/>
      <c r="H144" s="104" t="n"/>
      <c r="I144" s="104" t="n"/>
      <c r="J144" s="104" t="n"/>
      <c r="K144" s="104" t="n"/>
      <c r="L144" s="103" t="n"/>
    </row>
    <row r="145" ht="15" customHeight="1" s="67">
      <c r="B145" s="103" t="n"/>
      <c r="C145" s="103" t="n"/>
      <c r="D145" s="103" t="n"/>
      <c r="E145" s="104" t="n"/>
      <c r="F145" s="104" t="n"/>
      <c r="G145" s="104" t="n"/>
      <c r="H145" s="104" t="n"/>
      <c r="I145" s="104" t="n"/>
      <c r="J145" s="104" t="n"/>
      <c r="K145" s="104" t="n"/>
      <c r="L145" s="103" t="n"/>
    </row>
    <row r="146" ht="15" customHeight="1" s="67">
      <c r="B146" s="103" t="n"/>
      <c r="C146" s="103" t="n"/>
      <c r="D146" s="103" t="n"/>
      <c r="E146" s="104" t="n"/>
      <c r="F146" s="104" t="n"/>
      <c r="G146" s="104" t="n"/>
      <c r="H146" s="104" t="n"/>
      <c r="I146" s="104" t="n"/>
      <c r="J146" s="104" t="n"/>
      <c r="K146" s="104" t="n"/>
      <c r="L146" s="103" t="n"/>
    </row>
    <row r="147" ht="15" customHeight="1" s="67">
      <c r="B147" s="103" t="n"/>
      <c r="C147" s="103" t="n"/>
      <c r="D147" s="103" t="n"/>
      <c r="E147" s="104" t="n"/>
      <c r="F147" s="104" t="n"/>
      <c r="G147" s="104" t="n"/>
      <c r="H147" s="104" t="n"/>
      <c r="I147" s="104" t="n"/>
      <c r="J147" s="104" t="n"/>
      <c r="K147" s="104" t="n"/>
      <c r="L147" s="103" t="n"/>
    </row>
    <row r="148" ht="15" customHeight="1" s="67">
      <c r="B148" s="103" t="n"/>
      <c r="C148" s="103" t="n"/>
      <c r="D148" s="103" t="n"/>
      <c r="E148" s="104" t="n"/>
      <c r="F148" s="104" t="n"/>
      <c r="G148" s="104" t="n"/>
      <c r="H148" s="104" t="n"/>
      <c r="I148" s="104" t="n"/>
      <c r="J148" s="104" t="n"/>
      <c r="K148" s="104" t="n"/>
      <c r="L148" s="103" t="n"/>
    </row>
    <row r="149" ht="15" customHeight="1" s="67">
      <c r="B149" s="103" t="n"/>
      <c r="C149" s="103" t="n"/>
      <c r="D149" s="103" t="n"/>
      <c r="E149" s="104" t="n"/>
      <c r="F149" s="104" t="n"/>
      <c r="G149" s="104" t="n"/>
      <c r="H149" s="104" t="n"/>
      <c r="I149" s="104" t="n"/>
      <c r="J149" s="104" t="n"/>
      <c r="K149" s="104" t="n"/>
      <c r="L149" s="103" t="n"/>
    </row>
    <row r="150" ht="15" customHeight="1" s="67">
      <c r="B150" s="103" t="n"/>
      <c r="C150" s="103" t="n"/>
      <c r="D150" s="103" t="n"/>
      <c r="E150" s="104" t="n"/>
      <c r="F150" s="104" t="n"/>
      <c r="G150" s="104" t="n"/>
      <c r="H150" s="104" t="n"/>
      <c r="I150" s="104" t="n"/>
      <c r="J150" s="104" t="n"/>
      <c r="K150" s="104" t="n"/>
      <c r="L150" s="103" t="n"/>
    </row>
    <row r="151" ht="15" customHeight="1" s="67">
      <c r="B151" s="103" t="n"/>
      <c r="C151" s="103" t="n"/>
      <c r="D151" s="103" t="n"/>
      <c r="E151" s="104" t="n"/>
      <c r="F151" s="104" t="n"/>
      <c r="G151" s="104" t="n"/>
      <c r="H151" s="104" t="n"/>
      <c r="I151" s="104" t="n"/>
      <c r="J151" s="104" t="n"/>
      <c r="K151" s="104" t="n"/>
      <c r="L151" s="103" t="n"/>
    </row>
    <row r="152" ht="15" customHeight="1" s="67">
      <c r="B152" s="103" t="n"/>
      <c r="C152" s="103" t="n"/>
      <c r="D152" s="103" t="n"/>
      <c r="E152" s="104" t="n"/>
      <c r="F152" s="104" t="n"/>
      <c r="G152" s="104" t="n"/>
      <c r="H152" s="104" t="n"/>
      <c r="I152" s="104" t="n"/>
      <c r="J152" s="104" t="n"/>
      <c r="K152" s="104" t="n"/>
      <c r="L152" s="103" t="n"/>
    </row>
    <row r="153" ht="15" customHeight="1" s="67">
      <c r="B153" s="103" t="n"/>
      <c r="C153" s="103" t="n"/>
      <c r="D153" s="103" t="n"/>
      <c r="E153" s="104" t="n"/>
      <c r="F153" s="104" t="n"/>
      <c r="G153" s="104" t="n"/>
      <c r="H153" s="104" t="n"/>
      <c r="I153" s="104" t="n"/>
      <c r="J153" s="104" t="n"/>
      <c r="K153" s="104" t="n"/>
      <c r="L153" s="103" t="n"/>
    </row>
    <row r="154" ht="15" customHeight="1" s="67">
      <c r="B154" s="103" t="n"/>
      <c r="C154" s="103" t="n"/>
      <c r="D154" s="103" t="n"/>
      <c r="E154" s="104" t="n"/>
      <c r="F154" s="104" t="n"/>
      <c r="G154" s="104" t="n"/>
      <c r="H154" s="104" t="n"/>
      <c r="I154" s="104" t="n"/>
      <c r="J154" s="104" t="n"/>
      <c r="K154" s="104" t="n"/>
      <c r="L154" s="103" t="n"/>
    </row>
    <row r="155" ht="15" customHeight="1" s="67">
      <c r="B155" s="103" t="n"/>
      <c r="C155" s="103" t="n"/>
      <c r="D155" s="103" t="n"/>
      <c r="E155" s="104" t="n"/>
      <c r="F155" s="104" t="n"/>
      <c r="G155" s="104" t="n"/>
      <c r="H155" s="104" t="n"/>
      <c r="I155" s="104" t="n"/>
      <c r="J155" s="104" t="n"/>
      <c r="K155" s="104" t="n"/>
      <c r="L155" s="103" t="n"/>
    </row>
    <row r="156" ht="15" customHeight="1" s="67">
      <c r="B156" s="103" t="n"/>
      <c r="C156" s="103" t="n"/>
      <c r="D156" s="103" t="n"/>
      <c r="E156" s="104" t="n"/>
      <c r="F156" s="104" t="n"/>
      <c r="G156" s="104" t="n"/>
      <c r="H156" s="104" t="n"/>
      <c r="I156" s="104" t="n"/>
      <c r="J156" s="104" t="n"/>
      <c r="K156" s="104" t="n"/>
      <c r="L156" s="103" t="n"/>
    </row>
    <row r="157" ht="15" customHeight="1" s="67">
      <c r="B157" s="103" t="n"/>
      <c r="C157" s="103" t="n"/>
      <c r="D157" s="103" t="n"/>
      <c r="E157" s="104" t="n"/>
      <c r="F157" s="104" t="n"/>
      <c r="G157" s="104" t="n"/>
      <c r="H157" s="104" t="n"/>
      <c r="I157" s="104" t="n"/>
      <c r="J157" s="104" t="n"/>
      <c r="K157" s="104" t="n"/>
      <c r="L157" s="103" t="n"/>
    </row>
    <row r="158" ht="15" customHeight="1" s="67">
      <c r="B158" s="103" t="n"/>
      <c r="C158" s="103" t="n"/>
      <c r="D158" s="103" t="n"/>
      <c r="E158" s="104" t="n"/>
      <c r="F158" s="104" t="n"/>
      <c r="G158" s="104" t="n"/>
      <c r="H158" s="104" t="n"/>
      <c r="I158" s="104" t="n"/>
      <c r="J158" s="104" t="n"/>
      <c r="K158" s="104" t="n"/>
      <c r="L158" s="103" t="n"/>
    </row>
    <row r="159" ht="15" customHeight="1" s="67">
      <c r="B159" s="103" t="n"/>
      <c r="C159" s="103" t="n"/>
      <c r="D159" s="103" t="n"/>
      <c r="E159" s="104" t="n"/>
      <c r="F159" s="104" t="n"/>
      <c r="G159" s="104" t="n"/>
      <c r="H159" s="104" t="n"/>
      <c r="I159" s="104" t="n"/>
      <c r="J159" s="104" t="n"/>
      <c r="K159" s="104" t="n"/>
      <c r="L159" s="103" t="n"/>
    </row>
    <row r="160" ht="15" customHeight="1" s="67">
      <c r="B160" s="103" t="n"/>
      <c r="C160" s="103" t="n"/>
      <c r="D160" s="103" t="n"/>
      <c r="E160" s="104" t="n"/>
      <c r="F160" s="104" t="n"/>
      <c r="G160" s="104" t="n"/>
      <c r="H160" s="104" t="n"/>
      <c r="I160" s="104" t="n"/>
      <c r="J160" s="104" t="n"/>
      <c r="K160" s="104" t="n"/>
      <c r="L160" s="103" t="n"/>
    </row>
    <row r="161" ht="15" customHeight="1" s="67">
      <c r="B161" s="103" t="n"/>
      <c r="C161" s="103" t="n"/>
      <c r="D161" s="103" t="n"/>
      <c r="E161" s="104" t="n"/>
      <c r="F161" s="104" t="n"/>
      <c r="G161" s="104" t="n"/>
      <c r="H161" s="104" t="n"/>
      <c r="I161" s="104" t="n"/>
      <c r="J161" s="104" t="n"/>
      <c r="K161" s="104" t="n"/>
      <c r="L161" s="103" t="n"/>
    </row>
    <row r="162" ht="15" customHeight="1" s="67">
      <c r="B162" s="103" t="n"/>
      <c r="C162" s="103" t="n"/>
      <c r="D162" s="103" t="n"/>
      <c r="E162" s="104" t="n"/>
      <c r="F162" s="104" t="n"/>
      <c r="G162" s="104" t="n"/>
      <c r="H162" s="104" t="n"/>
      <c r="I162" s="104" t="n"/>
      <c r="J162" s="104" t="n"/>
      <c r="K162" s="104" t="n"/>
      <c r="L162" s="103" t="n"/>
    </row>
    <row r="163" ht="15" customHeight="1" s="67">
      <c r="B163" s="103" t="n"/>
      <c r="C163" s="103" t="n"/>
      <c r="D163" s="103" t="n"/>
      <c r="E163" s="104" t="n"/>
      <c r="F163" s="104" t="n"/>
      <c r="G163" s="104" t="n"/>
      <c r="H163" s="104" t="n"/>
      <c r="I163" s="104" t="n"/>
      <c r="J163" s="104" t="n"/>
      <c r="K163" s="104" t="n"/>
      <c r="L163" s="103" t="n"/>
    </row>
    <row r="164" ht="15" customHeight="1" s="67">
      <c r="B164" s="103" t="n"/>
      <c r="C164" s="103" t="n"/>
      <c r="D164" s="103" t="n"/>
      <c r="E164" s="104" t="n"/>
      <c r="F164" s="104" t="n"/>
      <c r="G164" s="104" t="n"/>
      <c r="H164" s="104" t="n"/>
      <c r="I164" s="104" t="n"/>
      <c r="J164" s="104" t="n"/>
      <c r="K164" s="104" t="n"/>
      <c r="L164" s="103" t="n"/>
    </row>
    <row r="165" ht="15" customHeight="1" s="67">
      <c r="B165" s="103" t="n"/>
      <c r="C165" s="103" t="n"/>
      <c r="D165" s="103" t="n"/>
      <c r="E165" s="104" t="n"/>
      <c r="F165" s="104" t="n"/>
      <c r="G165" s="104" t="n"/>
      <c r="H165" s="104" t="n"/>
      <c r="I165" s="104" t="n"/>
      <c r="J165" s="104" t="n"/>
      <c r="K165" s="104" t="n"/>
      <c r="L165" s="103" t="n"/>
    </row>
    <row r="166" ht="15" customHeight="1" s="67">
      <c r="B166" s="103" t="n"/>
      <c r="C166" s="103" t="n"/>
      <c r="D166" s="103" t="n"/>
      <c r="E166" s="104" t="n"/>
      <c r="F166" s="104" t="n"/>
      <c r="G166" s="104" t="n"/>
      <c r="H166" s="104" t="n"/>
      <c r="I166" s="104" t="n"/>
      <c r="J166" s="104" t="n"/>
      <c r="K166" s="104" t="n"/>
      <c r="L166" s="103" t="n"/>
    </row>
    <row r="167" ht="15" customHeight="1" s="67">
      <c r="B167" s="103" t="n"/>
      <c r="C167" s="103" t="n"/>
      <c r="D167" s="103" t="n"/>
      <c r="E167" s="104" t="n"/>
      <c r="F167" s="104" t="n"/>
      <c r="G167" s="104" t="n"/>
      <c r="H167" s="104" t="n"/>
      <c r="I167" s="104" t="n"/>
      <c r="J167" s="104" t="n"/>
      <c r="K167" s="104" t="n"/>
      <c r="L167" s="103" t="n"/>
    </row>
    <row r="168" ht="15" customHeight="1" s="67">
      <c r="B168" s="103" t="n"/>
      <c r="C168" s="103" t="n"/>
      <c r="D168" s="103" t="n"/>
      <c r="E168" s="104" t="n"/>
      <c r="F168" s="104" t="n"/>
      <c r="G168" s="104" t="n"/>
      <c r="H168" s="104" t="n"/>
      <c r="I168" s="104" t="n"/>
      <c r="J168" s="104" t="n"/>
      <c r="K168" s="104" t="n"/>
      <c r="L168" s="103" t="n"/>
    </row>
    <row r="169" ht="15" customHeight="1" s="67">
      <c r="B169" s="103" t="n"/>
      <c r="C169" s="103" t="n"/>
      <c r="D169" s="103" t="n"/>
      <c r="E169" s="104" t="n"/>
      <c r="F169" s="104" t="n"/>
      <c r="G169" s="104" t="n"/>
      <c r="H169" s="104" t="n"/>
      <c r="I169" s="104" t="n"/>
      <c r="J169" s="104" t="n"/>
      <c r="K169" s="104" t="n"/>
      <c r="L169" s="103" t="n"/>
    </row>
    <row r="170" ht="15" customHeight="1" s="67">
      <c r="B170" s="103" t="n"/>
      <c r="C170" s="103" t="n"/>
      <c r="D170" s="103" t="n"/>
      <c r="E170" s="104" t="n"/>
      <c r="F170" s="104" t="n"/>
      <c r="G170" s="104" t="n"/>
      <c r="H170" s="104" t="n"/>
      <c r="I170" s="104" t="n"/>
      <c r="J170" s="104" t="n"/>
      <c r="K170" s="104" t="n"/>
      <c r="L170" s="103" t="n"/>
    </row>
    <row r="171" ht="15" customHeight="1" s="67">
      <c r="B171" s="103" t="n"/>
      <c r="C171" s="103" t="n"/>
      <c r="D171" s="103" t="n"/>
      <c r="E171" s="104" t="n"/>
      <c r="F171" s="104" t="n"/>
      <c r="G171" s="104" t="n"/>
      <c r="H171" s="104" t="n"/>
      <c r="I171" s="104" t="n"/>
      <c r="J171" s="104" t="n"/>
      <c r="K171" s="104" t="n"/>
      <c r="L171" s="103" t="n"/>
    </row>
    <row r="172" ht="15" customHeight="1" s="67">
      <c r="B172" s="103" t="n"/>
      <c r="C172" s="103" t="n"/>
      <c r="D172" s="103" t="n"/>
      <c r="E172" s="104" t="n"/>
      <c r="F172" s="104" t="n"/>
      <c r="G172" s="104" t="n"/>
      <c r="H172" s="104" t="n"/>
      <c r="I172" s="104" t="n"/>
      <c r="J172" s="104" t="n"/>
      <c r="K172" s="104" t="n"/>
      <c r="L172" s="103" t="n"/>
    </row>
    <row r="173" ht="15" customHeight="1" s="67">
      <c r="B173" s="103" t="n"/>
      <c r="C173" s="103" t="n"/>
      <c r="D173" s="103" t="n"/>
      <c r="E173" s="104" t="n"/>
      <c r="F173" s="104" t="n"/>
      <c r="G173" s="104" t="n"/>
      <c r="H173" s="104" t="n"/>
      <c r="I173" s="104" t="n"/>
      <c r="J173" s="104" t="n"/>
      <c r="K173" s="104" t="n"/>
      <c r="L173" s="103" t="n"/>
    </row>
    <row r="174" ht="15" customHeight="1" s="67">
      <c r="B174" s="103" t="n"/>
      <c r="C174" s="103" t="n"/>
      <c r="D174" s="103" t="n"/>
      <c r="E174" s="104" t="n"/>
      <c r="F174" s="104" t="n"/>
      <c r="G174" s="104" t="n"/>
      <c r="H174" s="104" t="n"/>
      <c r="I174" s="104" t="n"/>
      <c r="J174" s="104" t="n"/>
      <c r="K174" s="104" t="n"/>
      <c r="L174" s="103" t="n"/>
    </row>
    <row r="175" ht="15" customHeight="1" s="67">
      <c r="B175" s="103" t="n"/>
      <c r="C175" s="103" t="n"/>
      <c r="D175" s="103" t="n"/>
      <c r="E175" s="104" t="n"/>
      <c r="F175" s="104" t="n"/>
      <c r="G175" s="104" t="n"/>
      <c r="H175" s="104" t="n"/>
      <c r="I175" s="104" t="n"/>
      <c r="J175" s="104" t="n"/>
      <c r="K175" s="104" t="n"/>
      <c r="L175" s="103" t="n"/>
    </row>
    <row r="176" ht="15" customHeight="1" s="67">
      <c r="B176" s="103" t="n"/>
      <c r="C176" s="103" t="n"/>
      <c r="D176" s="103" t="n"/>
      <c r="E176" s="104" t="n"/>
      <c r="F176" s="104" t="n"/>
      <c r="G176" s="104" t="n"/>
      <c r="H176" s="104" t="n"/>
      <c r="I176" s="104" t="n"/>
      <c r="J176" s="104" t="n"/>
      <c r="K176" s="104" t="n"/>
      <c r="L176" s="103" t="n"/>
    </row>
    <row r="177" ht="15" customHeight="1" s="67">
      <c r="B177" s="103" t="n"/>
      <c r="C177" s="103" t="n"/>
      <c r="D177" s="103" t="n"/>
      <c r="E177" s="104" t="n"/>
      <c r="F177" s="104" t="n"/>
      <c r="G177" s="104" t="n"/>
      <c r="H177" s="104" t="n"/>
      <c r="I177" s="104" t="n"/>
      <c r="J177" s="104" t="n"/>
      <c r="K177" s="104" t="n"/>
      <c r="L177" s="103" t="n"/>
    </row>
    <row r="178" ht="15" customHeight="1" s="67">
      <c r="B178" s="103" t="n"/>
      <c r="C178" s="103" t="n"/>
      <c r="D178" s="103" t="n"/>
      <c r="E178" s="104" t="n"/>
      <c r="F178" s="104" t="n"/>
      <c r="G178" s="104" t="n"/>
      <c r="H178" s="104" t="n"/>
      <c r="I178" s="104" t="n"/>
      <c r="J178" s="104" t="n"/>
      <c r="K178" s="104" t="n"/>
      <c r="L178" s="103" t="n"/>
    </row>
    <row r="179" ht="15" customHeight="1" s="67">
      <c r="B179" s="103" t="n"/>
      <c r="C179" s="103" t="n"/>
      <c r="D179" s="103" t="n"/>
      <c r="E179" s="104" t="n"/>
      <c r="F179" s="104" t="n"/>
      <c r="G179" s="104" t="n"/>
      <c r="H179" s="104" t="n"/>
      <c r="I179" s="104" t="n"/>
      <c r="J179" s="104" t="n"/>
      <c r="K179" s="104" t="n"/>
      <c r="L179" s="103" t="n"/>
    </row>
    <row r="180" ht="15" customHeight="1" s="67">
      <c r="B180" s="103" t="n"/>
      <c r="C180" s="103" t="n"/>
      <c r="D180" s="103" t="n"/>
      <c r="E180" s="104" t="n"/>
      <c r="F180" s="104" t="n"/>
      <c r="G180" s="104" t="n"/>
      <c r="H180" s="104" t="n"/>
      <c r="I180" s="104" t="n"/>
      <c r="J180" s="104" t="n"/>
      <c r="K180" s="104" t="n"/>
      <c r="L180" s="103" t="n"/>
    </row>
    <row r="181" ht="15" customHeight="1" s="67">
      <c r="B181" s="103" t="n"/>
      <c r="C181" s="103" t="n"/>
      <c r="D181" s="103" t="n"/>
      <c r="E181" s="104" t="n"/>
      <c r="F181" s="104" t="n"/>
      <c r="G181" s="104" t="n"/>
      <c r="H181" s="104" t="n"/>
      <c r="I181" s="104" t="n"/>
      <c r="J181" s="104" t="n"/>
      <c r="K181" s="104" t="n"/>
      <c r="L181" s="103" t="n"/>
    </row>
    <row r="182" ht="15" customHeight="1" s="67">
      <c r="B182" s="103" t="n"/>
      <c r="C182" s="103" t="n"/>
      <c r="D182" s="103" t="n"/>
      <c r="E182" s="104" t="n"/>
      <c r="F182" s="104" t="n"/>
      <c r="G182" s="104" t="n"/>
      <c r="H182" s="104" t="n"/>
      <c r="I182" s="104" t="n"/>
      <c r="J182" s="104" t="n"/>
      <c r="K182" s="104" t="n"/>
      <c r="L182" s="103" t="n"/>
    </row>
    <row r="183" ht="15" customHeight="1" s="67">
      <c r="B183" s="103" t="n"/>
      <c r="C183" s="103" t="n"/>
      <c r="D183" s="103" t="n"/>
      <c r="E183" s="104" t="n"/>
      <c r="F183" s="104" t="n"/>
      <c r="G183" s="104" t="n"/>
      <c r="H183" s="104" t="n"/>
      <c r="I183" s="104" t="n"/>
      <c r="J183" s="104" t="n"/>
      <c r="K183" s="104" t="n"/>
      <c r="L183" s="103" t="n"/>
    </row>
    <row r="184" ht="15" customHeight="1" s="67">
      <c r="B184" s="103" t="n"/>
      <c r="C184" s="103" t="n"/>
      <c r="D184" s="103" t="n"/>
      <c r="E184" s="104" t="n"/>
      <c r="F184" s="104" t="n"/>
      <c r="G184" s="104" t="n"/>
      <c r="H184" s="104" t="n"/>
      <c r="I184" s="104" t="n"/>
      <c r="J184" s="104" t="n"/>
      <c r="K184" s="104" t="n"/>
      <c r="L184" s="103" t="n"/>
    </row>
    <row r="185" ht="15" customHeight="1" s="67">
      <c r="B185" s="103" t="n"/>
      <c r="C185" s="103" t="n"/>
      <c r="D185" s="103" t="n"/>
      <c r="E185" s="104" t="n"/>
      <c r="F185" s="104" t="n"/>
      <c r="G185" s="104" t="n"/>
      <c r="H185" s="104" t="n"/>
      <c r="I185" s="104" t="n"/>
      <c r="J185" s="104" t="n"/>
      <c r="K185" s="104" t="n"/>
      <c r="L185" s="103" t="n"/>
    </row>
    <row r="186" ht="15" customHeight="1" s="67">
      <c r="B186" s="103" t="n"/>
      <c r="C186" s="103" t="n"/>
      <c r="D186" s="103" t="n"/>
      <c r="E186" s="104" t="n"/>
      <c r="F186" s="104" t="n"/>
      <c r="G186" s="104" t="n"/>
      <c r="H186" s="104" t="n"/>
      <c r="I186" s="104" t="n"/>
      <c r="J186" s="104" t="n"/>
      <c r="K186" s="104" t="n"/>
      <c r="L186" s="103" t="n"/>
    </row>
    <row r="187" ht="15" customHeight="1" s="67">
      <c r="B187" s="103" t="n"/>
      <c r="C187" s="103" t="n"/>
      <c r="D187" s="103" t="n"/>
      <c r="E187" s="104" t="n"/>
      <c r="F187" s="104" t="n"/>
      <c r="G187" s="104" t="n"/>
      <c r="H187" s="104" t="n"/>
      <c r="I187" s="104" t="n"/>
      <c r="J187" s="104" t="n"/>
      <c r="K187" s="104" t="n"/>
      <c r="L187" s="103" t="n"/>
    </row>
    <row r="188" ht="15" customHeight="1" s="67">
      <c r="B188" s="103" t="n"/>
      <c r="C188" s="103" t="n"/>
      <c r="D188" s="103" t="n"/>
      <c r="E188" s="104" t="n"/>
      <c r="F188" s="104" t="n"/>
      <c r="G188" s="104" t="n"/>
      <c r="H188" s="104" t="n"/>
      <c r="I188" s="104" t="n"/>
      <c r="J188" s="104" t="n"/>
      <c r="K188" s="104" t="n"/>
      <c r="L188" s="103" t="n"/>
    </row>
    <row r="189" ht="15" customHeight="1" s="67">
      <c r="B189" s="103" t="n"/>
      <c r="C189" s="103" t="n"/>
      <c r="D189" s="103" t="n"/>
      <c r="E189" s="104" t="n"/>
      <c r="F189" s="104" t="n"/>
      <c r="G189" s="104" t="n"/>
      <c r="H189" s="104" t="n"/>
      <c r="I189" s="104" t="n"/>
      <c r="J189" s="104" t="n"/>
      <c r="K189" s="104" t="n"/>
      <c r="L189" s="103" t="n"/>
    </row>
    <row r="190" ht="15" customHeight="1" s="67">
      <c r="B190" s="103" t="n"/>
      <c r="C190" s="103" t="n"/>
      <c r="D190" s="103" t="n"/>
      <c r="E190" s="104" t="n"/>
      <c r="F190" s="104" t="n"/>
      <c r="G190" s="104" t="n"/>
      <c r="H190" s="104" t="n"/>
      <c r="I190" s="104" t="n"/>
      <c r="J190" s="104" t="n"/>
      <c r="K190" s="104" t="n"/>
      <c r="L190" s="103" t="n"/>
    </row>
    <row r="191" ht="15" customHeight="1" s="67">
      <c r="B191" s="103" t="n"/>
      <c r="C191" s="103" t="n"/>
      <c r="D191" s="103" t="n"/>
      <c r="E191" s="104" t="n"/>
      <c r="F191" s="104" t="n"/>
      <c r="G191" s="104" t="n"/>
      <c r="H191" s="104" t="n"/>
      <c r="I191" s="104" t="n"/>
      <c r="J191" s="104" t="n"/>
      <c r="K191" s="104" t="n"/>
      <c r="L191" s="103" t="n"/>
    </row>
    <row r="192" ht="15" customHeight="1" s="67">
      <c r="B192" s="103" t="n"/>
      <c r="C192" s="103" t="n"/>
      <c r="D192" s="103" t="n"/>
      <c r="E192" s="104" t="n"/>
      <c r="F192" s="104" t="n"/>
      <c r="G192" s="104" t="n"/>
      <c r="H192" s="104" t="n"/>
      <c r="I192" s="104" t="n"/>
      <c r="J192" s="104" t="n"/>
      <c r="K192" s="104" t="n"/>
      <c r="L192" s="103" t="n"/>
    </row>
    <row r="193" ht="15" customHeight="1" s="67">
      <c r="B193" s="103" t="n"/>
      <c r="C193" s="103" t="n"/>
      <c r="D193" s="103" t="n"/>
      <c r="E193" s="104" t="n"/>
      <c r="F193" s="104" t="n"/>
      <c r="G193" s="104" t="n"/>
      <c r="H193" s="104" t="n"/>
      <c r="I193" s="104" t="n"/>
      <c r="J193" s="104" t="n"/>
      <c r="K193" s="104" t="n"/>
      <c r="L193" s="103" t="n"/>
    </row>
    <row r="194" ht="15" customHeight="1" s="67">
      <c r="B194" s="103" t="n"/>
      <c r="C194" s="103" t="n"/>
      <c r="D194" s="103" t="n"/>
      <c r="E194" s="104" t="n"/>
      <c r="F194" s="104" t="n"/>
      <c r="G194" s="104" t="n"/>
      <c r="H194" s="104" t="n"/>
      <c r="I194" s="104" t="n"/>
      <c r="J194" s="104" t="n"/>
      <c r="K194" s="104" t="n"/>
      <c r="L194" s="103" t="n"/>
    </row>
    <row r="195" ht="15" customHeight="1" s="67">
      <c r="B195" s="103" t="n"/>
      <c r="C195" s="103" t="n"/>
      <c r="D195" s="103" t="n"/>
      <c r="E195" s="104" t="n"/>
      <c r="F195" s="104" t="n"/>
      <c r="G195" s="104" t="n"/>
      <c r="H195" s="104" t="n"/>
      <c r="I195" s="104" t="n"/>
      <c r="J195" s="104" t="n"/>
      <c r="K195" s="104" t="n"/>
      <c r="L195" s="103" t="n"/>
    </row>
    <row r="196" ht="15" customHeight="1" s="67">
      <c r="B196" s="103" t="n"/>
      <c r="C196" s="103" t="n"/>
      <c r="D196" s="103" t="n"/>
      <c r="E196" s="104" t="n"/>
      <c r="F196" s="104" t="n"/>
      <c r="G196" s="104" t="n"/>
      <c r="H196" s="104" t="n"/>
      <c r="I196" s="104" t="n"/>
      <c r="J196" s="104" t="n"/>
      <c r="K196" s="104" t="n"/>
      <c r="L196" s="103" t="n"/>
    </row>
    <row r="197" ht="15" customHeight="1" s="67">
      <c r="B197" s="103" t="n"/>
      <c r="C197" s="103" t="n"/>
      <c r="D197" s="103" t="n"/>
      <c r="E197" s="104" t="n"/>
      <c r="F197" s="104" t="n"/>
      <c r="G197" s="104" t="n"/>
      <c r="H197" s="104" t="n"/>
      <c r="I197" s="104" t="n"/>
      <c r="J197" s="104" t="n"/>
      <c r="K197" s="104" t="n"/>
      <c r="L197" s="103" t="n"/>
    </row>
    <row r="198" ht="15" customHeight="1" s="67">
      <c r="B198" s="103" t="n"/>
      <c r="C198" s="103" t="n"/>
      <c r="D198" s="103" t="n"/>
      <c r="E198" s="104" t="n"/>
      <c r="F198" s="104" t="n"/>
      <c r="G198" s="104" t="n"/>
      <c r="H198" s="104" t="n"/>
      <c r="I198" s="104" t="n"/>
      <c r="J198" s="104" t="n"/>
      <c r="K198" s="104" t="n"/>
      <c r="L198" s="103" t="n"/>
    </row>
    <row r="199" ht="15" customHeight="1" s="67">
      <c r="B199" s="103" t="n"/>
      <c r="C199" s="103" t="n"/>
      <c r="D199" s="103" t="n"/>
      <c r="E199" s="104" t="n"/>
      <c r="F199" s="104" t="n"/>
      <c r="G199" s="104" t="n"/>
      <c r="H199" s="104" t="n"/>
      <c r="I199" s="104" t="n"/>
      <c r="J199" s="104" t="n"/>
      <c r="K199" s="104" t="n"/>
      <c r="L199" s="103" t="n"/>
    </row>
  </sheetData>
  <mergeCells count="3">
    <mergeCell ref="B2:L2"/>
    <mergeCell ref="B5:L5"/>
    <mergeCell ref="B3:L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59E0B"/>
    <outlinePr summaryBelow="1" summaryRight="1"/>
    <pageSetUpPr fitToPage="0"/>
  </sheetPr>
  <dimension ref="A2:H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59765625" defaultRowHeight="15" zeroHeight="0" outlineLevelRow="0"/>
  <cols>
    <col width="2" customWidth="1" style="66" min="1" max="1"/>
    <col width="13" customWidth="1" style="66" min="2" max="2"/>
    <col width="25" customWidth="1" style="66" min="3" max="3"/>
    <col width="12" customWidth="1" style="66" min="4" max="4"/>
    <col width="14" customWidth="1" style="66" min="5" max="5"/>
    <col width="12" customWidth="1" style="66" min="6" max="6"/>
    <col width="10" customWidth="1" style="66" min="7" max="7"/>
    <col width="25" customWidth="1" style="66" min="8" max="8"/>
  </cols>
  <sheetData>
    <row r="2" ht="19.7" customHeight="1" s="67">
      <c r="B2" s="97" t="inlineStr">
        <is>
          <t>Exercise Log — October 2026</t>
        </is>
      </c>
    </row>
    <row r="3" ht="15" customHeight="1" s="67">
      <c r="B3" s="69" t="inlineStr">
        <is>
          <t>Log your exercises. Calories burned will be estimated by the cron job based on exercise type and duration.</t>
        </is>
      </c>
    </row>
    <row r="4">
      <c r="B4" s="105" t="inlineStr">
        <is>
          <t>* Calories Burned is estimated by the cron job based on exercise type, duration, and intensity. Blue cells = you fill, white cells = cron fills.</t>
        </is>
      </c>
    </row>
    <row r="5" ht="39.55" customHeight="1" s="67">
      <c r="A5" s="100" t="n"/>
      <c r="B5" s="100" t="inlineStr">
        <is>
          <t>Date</t>
        </is>
      </c>
      <c r="C5" s="100" t="inlineStr">
        <is>
          <t>Exercise</t>
        </is>
      </c>
      <c r="D5" s="100" t="inlineStr">
        <is>
          <t>Duration
(min)</t>
        </is>
      </c>
      <c r="E5" s="100" t="inlineStr">
        <is>
          <t>Intensity
(Low/Med/High)</t>
        </is>
      </c>
      <c r="F5" s="100" t="inlineStr">
        <is>
          <t>Calories
Burned *</t>
        </is>
      </c>
      <c r="G5" s="100" t="inlineStr">
        <is>
          <t>Steps</t>
        </is>
      </c>
      <c r="H5" s="100" t="inlineStr">
        <is>
          <t>Notes</t>
        </is>
      </c>
    </row>
    <row r="6" ht="15" customHeight="1" s="67">
      <c r="A6" s="79" t="n"/>
      <c r="B6" s="101" t="n">
        <v>46296</v>
      </c>
      <c r="C6" s="102" t="inlineStr">
        <is>
          <t>Morning walk</t>
        </is>
      </c>
      <c r="D6" s="102" t="n">
        <v>30</v>
      </c>
      <c r="E6" s="102" t="inlineStr">
        <is>
          <t>Low</t>
        </is>
      </c>
      <c r="F6" s="106" t="n">
        <v>120</v>
      </c>
      <c r="G6" s="102" t="n">
        <v>3500</v>
      </c>
      <c r="H6" s="102" t="n"/>
    </row>
    <row r="7" ht="15" customHeight="1" s="67">
      <c r="A7" s="84" t="n"/>
      <c r="B7" s="101" t="n">
        <v>46296</v>
      </c>
      <c r="C7" s="102" t="inlineStr">
        <is>
          <t>Push-ups, squats</t>
        </is>
      </c>
      <c r="D7" s="102" t="n">
        <v>15</v>
      </c>
      <c r="E7" s="102" t="inlineStr">
        <is>
          <t>Med</t>
        </is>
      </c>
      <c r="F7" s="106" t="n">
        <v>80</v>
      </c>
      <c r="G7" s="102" t="n">
        <v>0</v>
      </c>
      <c r="H7" s="102" t="inlineStr">
        <is>
          <t>Bodyweight circuit</t>
        </is>
      </c>
    </row>
    <row r="8" ht="15" customHeight="1" s="67">
      <c r="A8" s="79" t="n"/>
      <c r="B8" s="101" t="n">
        <v>46297</v>
      </c>
      <c r="C8" s="102" t="inlineStr">
        <is>
          <t>Running</t>
        </is>
      </c>
      <c r="D8" s="102" t="n">
        <v>25</v>
      </c>
      <c r="E8" s="102" t="inlineStr">
        <is>
          <t>High</t>
        </is>
      </c>
      <c r="F8" s="106" t="n">
        <v>280</v>
      </c>
      <c r="G8" s="102" t="n">
        <v>4200</v>
      </c>
      <c r="H8" s="102" t="inlineStr">
        <is>
          <t>Park</t>
        </is>
      </c>
    </row>
    <row r="9" ht="15" customHeight="1" s="67">
      <c r="A9" s="84" t="n"/>
      <c r="B9" s="101" t="n">
        <v>46298</v>
      </c>
      <c r="C9" s="102" t="inlineStr">
        <is>
          <t>Yoga</t>
        </is>
      </c>
      <c r="D9" s="102" t="n">
        <v>40</v>
      </c>
      <c r="E9" s="102" t="inlineStr">
        <is>
          <t>Low</t>
        </is>
      </c>
      <c r="F9" s="106" t="n">
        <v>100</v>
      </c>
      <c r="G9" s="102" t="n">
        <v>0</v>
      </c>
      <c r="H9" s="102" t="inlineStr">
        <is>
          <t>YouTube session</t>
        </is>
      </c>
    </row>
    <row r="10" ht="15" customHeight="1" s="67">
      <c r="A10" s="79" t="n"/>
      <c r="B10" s="101" t="n">
        <v>46299</v>
      </c>
      <c r="C10" s="102" t="inlineStr">
        <is>
          <t>Rest day</t>
        </is>
      </c>
      <c r="D10" s="102" t="n">
        <v>0</v>
      </c>
      <c r="E10" s="102" t="inlineStr">
        <is>
          <t>Low</t>
        </is>
      </c>
      <c r="F10" s="106" t="n">
        <v>0</v>
      </c>
      <c r="G10" s="102" t="n">
        <v>2000</v>
      </c>
      <c r="H10" s="102" t="inlineStr">
        <is>
          <t>Just walking around</t>
        </is>
      </c>
    </row>
    <row r="11" ht="15" customHeight="1" s="67">
      <c r="A11" s="84" t="n"/>
      <c r="B11" s="101" t="n">
        <v>46300</v>
      </c>
      <c r="C11" s="102" t="inlineStr">
        <is>
          <t>Cycling</t>
        </is>
      </c>
      <c r="D11" s="102" t="n">
        <v>45</v>
      </c>
      <c r="E11" s="102" t="inlineStr">
        <is>
          <t>Med</t>
        </is>
      </c>
      <c r="F11" s="106" t="n">
        <v>320</v>
      </c>
      <c r="G11" s="102" t="n">
        <v>0</v>
      </c>
      <c r="H11" s="102" t="inlineStr">
        <is>
          <t>Evening ride</t>
        </is>
      </c>
    </row>
    <row r="12" ht="15" customHeight="1" s="67">
      <c r="A12" s="79" t="n"/>
      <c r="B12" s="101" t="n">
        <v>46300</v>
      </c>
      <c r="C12" s="102" t="inlineStr">
        <is>
          <t>Stretching</t>
        </is>
      </c>
      <c r="D12" s="102" t="n">
        <v>10</v>
      </c>
      <c r="E12" s="102" t="inlineStr">
        <is>
          <t>Low</t>
        </is>
      </c>
      <c r="F12" s="106" t="n">
        <v>30</v>
      </c>
      <c r="G12" s="102" t="n">
        <v>0</v>
      </c>
      <c r="H12" s="102" t="n"/>
    </row>
    <row r="13" ht="15" customHeight="1" s="67">
      <c r="A13" s="84" t="n"/>
      <c r="B13" s="101" t="n">
        <v>46301</v>
      </c>
      <c r="C13" s="102" t="inlineStr">
        <is>
          <t>Morning walk</t>
        </is>
      </c>
      <c r="D13" s="102" t="n">
        <v>35</v>
      </c>
      <c r="E13" s="102" t="inlineStr">
        <is>
          <t>Low</t>
        </is>
      </c>
      <c r="F13" s="106" t="n">
        <v>140</v>
      </c>
      <c r="G13" s="102" t="n">
        <v>4000</v>
      </c>
      <c r="H13" s="102" t="n"/>
    </row>
    <row r="14" ht="15" customHeight="1" s="67">
      <c r="A14" s="79" t="n"/>
      <c r="B14" s="101" t="n">
        <v>46302</v>
      </c>
      <c r="C14" s="102" t="inlineStr">
        <is>
          <t>HIIT workout</t>
        </is>
      </c>
      <c r="D14" s="102" t="n">
        <v>20</v>
      </c>
      <c r="E14" s="102" t="inlineStr">
        <is>
          <t>High</t>
        </is>
      </c>
      <c r="F14" s="106" t="n">
        <v>250</v>
      </c>
      <c r="G14" s="102" t="n">
        <v>0</v>
      </c>
      <c r="H14" s="102" t="inlineStr">
        <is>
          <t>Home workout</t>
        </is>
      </c>
    </row>
    <row r="15" ht="15" customHeight="1" s="67">
      <c r="A15" s="84" t="n"/>
      <c r="B15" s="101" t="n">
        <v>46302</v>
      </c>
      <c r="C15" s="102" t="inlineStr">
        <is>
          <t>Evening walk</t>
        </is>
      </c>
      <c r="D15" s="102" t="n">
        <v>25</v>
      </c>
      <c r="E15" s="102" t="inlineStr">
        <is>
          <t>Low</t>
        </is>
      </c>
      <c r="F15" s="106" t="n">
        <v>100</v>
      </c>
      <c r="G15" s="102" t="n">
        <v>3000</v>
      </c>
      <c r="H15" s="102" t="n"/>
    </row>
    <row r="16" ht="15" customHeight="1" s="67">
      <c r="B16" s="103" t="n"/>
      <c r="C16" s="103" t="n"/>
      <c r="D16" s="103" t="n"/>
      <c r="E16" s="103" t="n"/>
      <c r="F16" s="107" t="n"/>
      <c r="G16" s="103" t="n"/>
      <c r="H16" s="103" t="n"/>
    </row>
    <row r="17" ht="15" customHeight="1" s="67">
      <c r="B17" s="103" t="n"/>
      <c r="C17" s="103" t="n"/>
      <c r="D17" s="103" t="n"/>
      <c r="E17" s="103" t="n"/>
      <c r="F17" s="107" t="n"/>
      <c r="G17" s="103" t="n"/>
      <c r="H17" s="103" t="n"/>
    </row>
    <row r="18" ht="15" customHeight="1" s="67">
      <c r="B18" s="103" t="n"/>
      <c r="C18" s="103" t="n"/>
      <c r="D18" s="103" t="n"/>
      <c r="E18" s="103" t="n"/>
      <c r="F18" s="107" t="n"/>
      <c r="G18" s="103" t="n"/>
      <c r="H18" s="103" t="n"/>
    </row>
    <row r="19" ht="15" customHeight="1" s="67">
      <c r="B19" s="103" t="n"/>
      <c r="C19" s="103" t="n"/>
      <c r="D19" s="103" t="n"/>
      <c r="E19" s="103" t="n"/>
      <c r="F19" s="107" t="n"/>
      <c r="G19" s="103" t="n"/>
      <c r="H19" s="103" t="n"/>
    </row>
    <row r="20" ht="15" customHeight="1" s="67">
      <c r="B20" s="103" t="n"/>
      <c r="C20" s="103" t="n"/>
      <c r="D20" s="103" t="n"/>
      <c r="E20" s="103" t="n"/>
      <c r="F20" s="107" t="n"/>
      <c r="G20" s="103" t="n"/>
      <c r="H20" s="103" t="n"/>
    </row>
    <row r="21" ht="15" customHeight="1" s="67">
      <c r="B21" s="103" t="n"/>
      <c r="C21" s="103" t="n"/>
      <c r="D21" s="103" t="n"/>
      <c r="E21" s="103" t="n"/>
      <c r="F21" s="107" t="n"/>
      <c r="G21" s="103" t="n"/>
      <c r="H21" s="103" t="n"/>
    </row>
    <row r="22" ht="15" customHeight="1" s="67">
      <c r="B22" s="103" t="n"/>
      <c r="C22" s="103" t="n"/>
      <c r="D22" s="103" t="n"/>
      <c r="E22" s="103" t="n"/>
      <c r="F22" s="107" t="n"/>
      <c r="G22" s="103" t="n"/>
      <c r="H22" s="103" t="n"/>
    </row>
    <row r="23" ht="15" customHeight="1" s="67">
      <c r="B23" s="103" t="n"/>
      <c r="C23" s="103" t="n"/>
      <c r="D23" s="103" t="n"/>
      <c r="E23" s="103" t="n"/>
      <c r="F23" s="107" t="n"/>
      <c r="G23" s="103" t="n"/>
      <c r="H23" s="103" t="n"/>
    </row>
    <row r="24" ht="15" customHeight="1" s="67">
      <c r="B24" s="103" t="n"/>
      <c r="C24" s="103" t="n"/>
      <c r="D24" s="103" t="n"/>
      <c r="E24" s="103" t="n"/>
      <c r="F24" s="107" t="n"/>
      <c r="G24" s="103" t="n"/>
      <c r="H24" s="103" t="n"/>
    </row>
    <row r="25" ht="15" customHeight="1" s="67">
      <c r="B25" s="103" t="n"/>
      <c r="C25" s="103" t="n"/>
      <c r="D25" s="103" t="n"/>
      <c r="E25" s="103" t="n"/>
      <c r="F25" s="107" t="n"/>
      <c r="G25" s="103" t="n"/>
      <c r="H25" s="103" t="n"/>
    </row>
    <row r="26" ht="15" customHeight="1" s="67">
      <c r="B26" s="103" t="n"/>
      <c r="C26" s="103" t="n"/>
      <c r="D26" s="103" t="n"/>
      <c r="E26" s="103" t="n"/>
      <c r="F26" s="107" t="n"/>
      <c r="G26" s="103" t="n"/>
      <c r="H26" s="103" t="n"/>
    </row>
    <row r="27" ht="15" customHeight="1" s="67">
      <c r="B27" s="103" t="n"/>
      <c r="C27" s="103" t="n"/>
      <c r="D27" s="103" t="n"/>
      <c r="E27" s="103" t="n"/>
      <c r="F27" s="107" t="n"/>
      <c r="G27" s="103" t="n"/>
      <c r="H27" s="103" t="n"/>
    </row>
    <row r="28" ht="15" customHeight="1" s="67">
      <c r="B28" s="103" t="n"/>
      <c r="C28" s="103" t="n"/>
      <c r="D28" s="103" t="n"/>
      <c r="E28" s="103" t="n"/>
      <c r="F28" s="107" t="n"/>
      <c r="G28" s="103" t="n"/>
      <c r="H28" s="103" t="n"/>
    </row>
    <row r="29" ht="15" customHeight="1" s="67">
      <c r="B29" s="103" t="n"/>
      <c r="C29" s="103" t="n"/>
      <c r="D29" s="103" t="n"/>
      <c r="E29" s="103" t="n"/>
      <c r="F29" s="107" t="n"/>
      <c r="G29" s="103" t="n"/>
      <c r="H29" s="103" t="n"/>
    </row>
    <row r="30" ht="15" customHeight="1" s="67">
      <c r="B30" s="103" t="n"/>
      <c r="C30" s="103" t="n"/>
      <c r="D30" s="103" t="n"/>
      <c r="E30" s="103" t="n"/>
      <c r="F30" s="107" t="n"/>
      <c r="G30" s="103" t="n"/>
      <c r="H30" s="103" t="n"/>
    </row>
    <row r="31" ht="15" customHeight="1" s="67">
      <c r="B31" s="103" t="n"/>
      <c r="C31" s="103" t="n"/>
      <c r="D31" s="103" t="n"/>
      <c r="E31" s="103" t="n"/>
      <c r="F31" s="107" t="n"/>
      <c r="G31" s="103" t="n"/>
      <c r="H31" s="103" t="n"/>
    </row>
    <row r="32" ht="15" customHeight="1" s="67">
      <c r="B32" s="103" t="n"/>
      <c r="C32" s="103" t="n"/>
      <c r="D32" s="103" t="n"/>
      <c r="E32" s="103" t="n"/>
      <c r="F32" s="107" t="n"/>
      <c r="G32" s="103" t="n"/>
      <c r="H32" s="103" t="n"/>
    </row>
    <row r="33" ht="15" customHeight="1" s="67">
      <c r="B33" s="103" t="n"/>
      <c r="C33" s="103" t="n"/>
      <c r="D33" s="103" t="n"/>
      <c r="E33" s="103" t="n"/>
      <c r="F33" s="107" t="n"/>
      <c r="G33" s="103" t="n"/>
      <c r="H33" s="103" t="n"/>
    </row>
    <row r="34" ht="15" customHeight="1" s="67">
      <c r="B34" s="103" t="n"/>
      <c r="C34" s="103" t="n"/>
      <c r="D34" s="103" t="n"/>
      <c r="E34" s="103" t="n"/>
      <c r="F34" s="107" t="n"/>
      <c r="G34" s="103" t="n"/>
      <c r="H34" s="103" t="n"/>
    </row>
    <row r="35" ht="15" customHeight="1" s="67">
      <c r="B35" s="103" t="n"/>
      <c r="C35" s="103" t="n"/>
      <c r="D35" s="103" t="n"/>
      <c r="E35" s="103" t="n"/>
      <c r="F35" s="107" t="n"/>
      <c r="G35" s="103" t="n"/>
      <c r="H35" s="103" t="n"/>
    </row>
    <row r="36" ht="15" customHeight="1" s="67">
      <c r="B36" s="103" t="n"/>
      <c r="C36" s="103" t="n"/>
      <c r="D36" s="103" t="n"/>
      <c r="E36" s="103" t="n"/>
      <c r="F36" s="107" t="n"/>
      <c r="G36" s="103" t="n"/>
      <c r="H36" s="103" t="n"/>
    </row>
    <row r="37" ht="15" customHeight="1" s="67">
      <c r="B37" s="103" t="n"/>
      <c r="C37" s="103" t="n"/>
      <c r="D37" s="103" t="n"/>
      <c r="E37" s="103" t="n"/>
      <c r="F37" s="107" t="n"/>
      <c r="G37" s="103" t="n"/>
      <c r="H37" s="103" t="n"/>
    </row>
    <row r="38" ht="15" customHeight="1" s="67">
      <c r="B38" s="103" t="n"/>
      <c r="C38" s="103" t="n"/>
      <c r="D38" s="103" t="n"/>
      <c r="E38" s="103" t="n"/>
      <c r="F38" s="107" t="n"/>
      <c r="G38" s="103" t="n"/>
      <c r="H38" s="103" t="n"/>
    </row>
    <row r="39" ht="15" customHeight="1" s="67">
      <c r="B39" s="103" t="n"/>
      <c r="C39" s="103" t="n"/>
      <c r="D39" s="103" t="n"/>
      <c r="E39" s="103" t="n"/>
      <c r="F39" s="107" t="n"/>
      <c r="G39" s="103" t="n"/>
      <c r="H39" s="103" t="n"/>
    </row>
    <row r="40" ht="15" customHeight="1" s="67">
      <c r="B40" s="103" t="n"/>
      <c r="C40" s="103" t="n"/>
      <c r="D40" s="103" t="n"/>
      <c r="E40" s="103" t="n"/>
      <c r="F40" s="107" t="n"/>
      <c r="G40" s="103" t="n"/>
      <c r="H40" s="103" t="n"/>
    </row>
    <row r="41" ht="15" customHeight="1" s="67">
      <c r="B41" s="103" t="n"/>
      <c r="C41" s="103" t="n"/>
      <c r="D41" s="103" t="n"/>
      <c r="E41" s="103" t="n"/>
      <c r="F41" s="107" t="n"/>
      <c r="G41" s="103" t="n"/>
      <c r="H41" s="103" t="n"/>
    </row>
    <row r="42" ht="15" customHeight="1" s="67">
      <c r="B42" s="103" t="n"/>
      <c r="C42" s="103" t="n"/>
      <c r="D42" s="103" t="n"/>
      <c r="E42" s="103" t="n"/>
      <c r="F42" s="107" t="n"/>
      <c r="G42" s="103" t="n"/>
      <c r="H42" s="103" t="n"/>
    </row>
    <row r="43" ht="15" customHeight="1" s="67">
      <c r="B43" s="103" t="n"/>
      <c r="C43" s="103" t="n"/>
      <c r="D43" s="103" t="n"/>
      <c r="E43" s="103" t="n"/>
      <c r="F43" s="107" t="n"/>
      <c r="G43" s="103" t="n"/>
      <c r="H43" s="103" t="n"/>
    </row>
    <row r="44" ht="15" customHeight="1" s="67">
      <c r="B44" s="103" t="n"/>
      <c r="C44" s="103" t="n"/>
      <c r="D44" s="103" t="n"/>
      <c r="E44" s="103" t="n"/>
      <c r="F44" s="107" t="n"/>
      <c r="G44" s="103" t="n"/>
      <c r="H44" s="103" t="n"/>
    </row>
    <row r="45" ht="15" customHeight="1" s="67">
      <c r="B45" s="103" t="n"/>
      <c r="C45" s="103" t="n"/>
      <c r="D45" s="103" t="n"/>
      <c r="E45" s="103" t="n"/>
      <c r="F45" s="107" t="n"/>
      <c r="G45" s="103" t="n"/>
      <c r="H45" s="103" t="n"/>
    </row>
    <row r="46" ht="15" customHeight="1" s="67">
      <c r="B46" s="103" t="n"/>
      <c r="C46" s="103" t="n"/>
      <c r="D46" s="103" t="n"/>
      <c r="E46" s="103" t="n"/>
      <c r="F46" s="107" t="n"/>
      <c r="G46" s="103" t="n"/>
      <c r="H46" s="103" t="n"/>
    </row>
    <row r="47" ht="15" customHeight="1" s="67">
      <c r="B47" s="103" t="n"/>
      <c r="C47" s="103" t="n"/>
      <c r="D47" s="103" t="n"/>
      <c r="E47" s="103" t="n"/>
      <c r="F47" s="107" t="n"/>
      <c r="G47" s="103" t="n"/>
      <c r="H47" s="103" t="n"/>
    </row>
    <row r="48" ht="15" customHeight="1" s="67">
      <c r="B48" s="103" t="n"/>
      <c r="C48" s="103" t="n"/>
      <c r="D48" s="103" t="n"/>
      <c r="E48" s="103" t="n"/>
      <c r="F48" s="107" t="n"/>
      <c r="G48" s="103" t="n"/>
      <c r="H48" s="103" t="n"/>
    </row>
    <row r="49" ht="15" customHeight="1" s="67">
      <c r="B49" s="103" t="n"/>
      <c r="C49" s="103" t="n"/>
      <c r="D49" s="103" t="n"/>
      <c r="E49" s="103" t="n"/>
      <c r="F49" s="107" t="n"/>
      <c r="G49" s="103" t="n"/>
      <c r="H49" s="103" t="n"/>
    </row>
    <row r="50" ht="15" customHeight="1" s="67">
      <c r="B50" s="103" t="n"/>
      <c r="C50" s="103" t="n"/>
      <c r="D50" s="103" t="n"/>
      <c r="E50" s="103" t="n"/>
      <c r="F50" s="107" t="n"/>
      <c r="G50" s="103" t="n"/>
      <c r="H50" s="103" t="n"/>
    </row>
    <row r="51" ht="15" customHeight="1" s="67">
      <c r="B51" s="103" t="n"/>
      <c r="C51" s="103" t="n"/>
      <c r="D51" s="103" t="n"/>
      <c r="E51" s="103" t="n"/>
      <c r="F51" s="107" t="n"/>
      <c r="G51" s="103" t="n"/>
      <c r="H51" s="103" t="n"/>
    </row>
    <row r="52" ht="15" customHeight="1" s="67">
      <c r="B52" s="103" t="n"/>
      <c r="C52" s="103" t="n"/>
      <c r="D52" s="103" t="n"/>
      <c r="E52" s="103" t="n"/>
      <c r="F52" s="107" t="n"/>
      <c r="G52" s="103" t="n"/>
      <c r="H52" s="103" t="n"/>
    </row>
    <row r="53" ht="15" customHeight="1" s="67">
      <c r="B53" s="103" t="n"/>
      <c r="C53" s="103" t="n"/>
      <c r="D53" s="103" t="n"/>
      <c r="E53" s="103" t="n"/>
      <c r="F53" s="107" t="n"/>
      <c r="G53" s="103" t="n"/>
      <c r="H53" s="103" t="n"/>
    </row>
    <row r="54" ht="15" customHeight="1" s="67">
      <c r="B54" s="103" t="n"/>
      <c r="C54" s="103" t="n"/>
      <c r="D54" s="103" t="n"/>
      <c r="E54" s="103" t="n"/>
      <c r="F54" s="107" t="n"/>
      <c r="G54" s="103" t="n"/>
      <c r="H54" s="103" t="n"/>
    </row>
    <row r="55" ht="15" customHeight="1" s="67">
      <c r="B55" s="103" t="n"/>
      <c r="C55" s="103" t="n"/>
      <c r="D55" s="103" t="n"/>
      <c r="E55" s="103" t="n"/>
      <c r="F55" s="107" t="n"/>
      <c r="G55" s="103" t="n"/>
      <c r="H55" s="103" t="n"/>
    </row>
    <row r="56" ht="15" customHeight="1" s="67">
      <c r="B56" s="103" t="n"/>
      <c r="C56" s="103" t="n"/>
      <c r="D56" s="103" t="n"/>
      <c r="E56" s="103" t="n"/>
      <c r="F56" s="107" t="n"/>
      <c r="G56" s="103" t="n"/>
      <c r="H56" s="103" t="n"/>
    </row>
    <row r="57" ht="15" customHeight="1" s="67">
      <c r="B57" s="103" t="n"/>
      <c r="C57" s="103" t="n"/>
      <c r="D57" s="103" t="n"/>
      <c r="E57" s="103" t="n"/>
      <c r="F57" s="107" t="n"/>
      <c r="G57" s="103" t="n"/>
      <c r="H57" s="103" t="n"/>
    </row>
    <row r="58" ht="15" customHeight="1" s="67">
      <c r="B58" s="103" t="n"/>
      <c r="C58" s="103" t="n"/>
      <c r="D58" s="103" t="n"/>
      <c r="E58" s="103" t="n"/>
      <c r="F58" s="107" t="n"/>
      <c r="G58" s="103" t="n"/>
      <c r="H58" s="103" t="n"/>
    </row>
    <row r="59" ht="15" customHeight="1" s="67">
      <c r="B59" s="103" t="n"/>
      <c r="C59" s="103" t="n"/>
      <c r="D59" s="103" t="n"/>
      <c r="E59" s="103" t="n"/>
      <c r="F59" s="107" t="n"/>
      <c r="G59" s="103" t="n"/>
      <c r="H59" s="103" t="n"/>
    </row>
    <row r="60" ht="15" customHeight="1" s="67">
      <c r="B60" s="103" t="n"/>
      <c r="C60" s="103" t="n"/>
      <c r="D60" s="103" t="n"/>
      <c r="E60" s="103" t="n"/>
      <c r="F60" s="107" t="n"/>
      <c r="G60" s="103" t="n"/>
      <c r="H60" s="103" t="n"/>
    </row>
    <row r="61" ht="15" customHeight="1" s="67">
      <c r="B61" s="103" t="n"/>
      <c r="C61" s="103" t="n"/>
      <c r="D61" s="103" t="n"/>
      <c r="E61" s="103" t="n"/>
      <c r="F61" s="107" t="n"/>
      <c r="G61" s="103" t="n"/>
      <c r="H61" s="103" t="n"/>
    </row>
    <row r="62" ht="15" customHeight="1" s="67">
      <c r="B62" s="103" t="n"/>
      <c r="C62" s="103" t="n"/>
      <c r="D62" s="103" t="n"/>
      <c r="E62" s="103" t="n"/>
      <c r="F62" s="107" t="n"/>
      <c r="G62" s="103" t="n"/>
      <c r="H62" s="103" t="n"/>
    </row>
    <row r="63" ht="15" customHeight="1" s="67">
      <c r="B63" s="103" t="n"/>
      <c r="C63" s="103" t="n"/>
      <c r="D63" s="103" t="n"/>
      <c r="E63" s="103" t="n"/>
      <c r="F63" s="107" t="n"/>
      <c r="G63" s="103" t="n"/>
      <c r="H63" s="103" t="n"/>
    </row>
    <row r="64" ht="15" customHeight="1" s="67">
      <c r="B64" s="103" t="n"/>
      <c r="C64" s="103" t="n"/>
      <c r="D64" s="103" t="n"/>
      <c r="E64" s="103" t="n"/>
      <c r="F64" s="107" t="n"/>
      <c r="G64" s="103" t="n"/>
      <c r="H64" s="103" t="n"/>
    </row>
    <row r="65" ht="15" customHeight="1" s="67">
      <c r="B65" s="103" t="n"/>
      <c r="C65" s="103" t="n"/>
      <c r="D65" s="103" t="n"/>
      <c r="E65" s="103" t="n"/>
      <c r="F65" s="107" t="n"/>
      <c r="G65" s="103" t="n"/>
      <c r="H65" s="103" t="n"/>
    </row>
    <row r="66" ht="15" customHeight="1" s="67">
      <c r="B66" s="103" t="n"/>
      <c r="C66" s="103" t="n"/>
      <c r="D66" s="103" t="n"/>
      <c r="E66" s="103" t="n"/>
      <c r="F66" s="107" t="n"/>
      <c r="G66" s="103" t="n"/>
      <c r="H66" s="103" t="n"/>
    </row>
    <row r="67" ht="15" customHeight="1" s="67">
      <c r="B67" s="103" t="n"/>
      <c r="C67" s="103" t="n"/>
      <c r="D67" s="103" t="n"/>
      <c r="E67" s="103" t="n"/>
      <c r="F67" s="107" t="n"/>
      <c r="G67" s="103" t="n"/>
      <c r="H67" s="103" t="n"/>
    </row>
    <row r="68" ht="15" customHeight="1" s="67">
      <c r="B68" s="103" t="n"/>
      <c r="C68" s="103" t="n"/>
      <c r="D68" s="103" t="n"/>
      <c r="E68" s="103" t="n"/>
      <c r="F68" s="107" t="n"/>
      <c r="G68" s="103" t="n"/>
      <c r="H68" s="103" t="n"/>
    </row>
    <row r="69" ht="15" customHeight="1" s="67">
      <c r="B69" s="103" t="n"/>
      <c r="C69" s="103" t="n"/>
      <c r="D69" s="103" t="n"/>
      <c r="E69" s="103" t="n"/>
      <c r="F69" s="107" t="n"/>
      <c r="G69" s="103" t="n"/>
      <c r="H69" s="103" t="n"/>
    </row>
    <row r="70" ht="15" customHeight="1" s="67">
      <c r="B70" s="103" t="n"/>
      <c r="C70" s="103" t="n"/>
      <c r="D70" s="103" t="n"/>
      <c r="E70" s="103" t="n"/>
      <c r="F70" s="107" t="n"/>
      <c r="G70" s="103" t="n"/>
      <c r="H70" s="103" t="n"/>
    </row>
    <row r="71" ht="15" customHeight="1" s="67">
      <c r="B71" s="103" t="n"/>
      <c r="C71" s="103" t="n"/>
      <c r="D71" s="103" t="n"/>
      <c r="E71" s="103" t="n"/>
      <c r="F71" s="107" t="n"/>
      <c r="G71" s="103" t="n"/>
      <c r="H71" s="103" t="n"/>
    </row>
    <row r="72" ht="15" customHeight="1" s="67">
      <c r="B72" s="103" t="n"/>
      <c r="C72" s="103" t="n"/>
      <c r="D72" s="103" t="n"/>
      <c r="E72" s="103" t="n"/>
      <c r="F72" s="107" t="n"/>
      <c r="G72" s="103" t="n"/>
      <c r="H72" s="103" t="n"/>
    </row>
    <row r="73" ht="15" customHeight="1" s="67">
      <c r="B73" s="103" t="n"/>
      <c r="C73" s="103" t="n"/>
      <c r="D73" s="103" t="n"/>
      <c r="E73" s="103" t="n"/>
      <c r="F73" s="107" t="n"/>
      <c r="G73" s="103" t="n"/>
      <c r="H73" s="103" t="n"/>
    </row>
    <row r="74" ht="15" customHeight="1" s="67">
      <c r="B74" s="103" t="n"/>
      <c r="C74" s="103" t="n"/>
      <c r="D74" s="103" t="n"/>
      <c r="E74" s="103" t="n"/>
      <c r="F74" s="107" t="n"/>
      <c r="G74" s="103" t="n"/>
      <c r="H74" s="103" t="n"/>
    </row>
    <row r="75" ht="15" customHeight="1" s="67">
      <c r="B75" s="103" t="n"/>
      <c r="C75" s="103" t="n"/>
      <c r="D75" s="103" t="n"/>
      <c r="E75" s="103" t="n"/>
      <c r="F75" s="107" t="n"/>
      <c r="G75" s="103" t="n"/>
      <c r="H75" s="103" t="n"/>
    </row>
    <row r="76" ht="15" customHeight="1" s="67">
      <c r="B76" s="103" t="n"/>
      <c r="C76" s="103" t="n"/>
      <c r="D76" s="103" t="n"/>
      <c r="E76" s="103" t="n"/>
      <c r="F76" s="107" t="n"/>
      <c r="G76" s="103" t="n"/>
      <c r="H76" s="103" t="n"/>
    </row>
    <row r="77" ht="15" customHeight="1" s="67">
      <c r="B77" s="103" t="n"/>
      <c r="C77" s="103" t="n"/>
      <c r="D77" s="103" t="n"/>
      <c r="E77" s="103" t="n"/>
      <c r="F77" s="107" t="n"/>
      <c r="G77" s="103" t="n"/>
      <c r="H77" s="103" t="n"/>
    </row>
    <row r="78" ht="15" customHeight="1" s="67">
      <c r="B78" s="103" t="n"/>
      <c r="C78" s="103" t="n"/>
      <c r="D78" s="103" t="n"/>
      <c r="E78" s="103" t="n"/>
      <c r="F78" s="107" t="n"/>
      <c r="G78" s="103" t="n"/>
      <c r="H78" s="103" t="n"/>
    </row>
    <row r="79" ht="15" customHeight="1" s="67">
      <c r="B79" s="103" t="n"/>
      <c r="C79" s="103" t="n"/>
      <c r="D79" s="103" t="n"/>
      <c r="E79" s="103" t="n"/>
      <c r="F79" s="107" t="n"/>
      <c r="G79" s="103" t="n"/>
      <c r="H79" s="103" t="n"/>
    </row>
    <row r="80" ht="15" customHeight="1" s="67">
      <c r="B80" s="103" t="n"/>
      <c r="C80" s="103" t="n"/>
      <c r="D80" s="103" t="n"/>
      <c r="E80" s="103" t="n"/>
      <c r="F80" s="107" t="n"/>
      <c r="G80" s="103" t="n"/>
      <c r="H80" s="103" t="n"/>
    </row>
    <row r="81" ht="15" customHeight="1" s="67">
      <c r="B81" s="103" t="n"/>
      <c r="C81" s="103" t="n"/>
      <c r="D81" s="103" t="n"/>
      <c r="E81" s="103" t="n"/>
      <c r="F81" s="107" t="n"/>
      <c r="G81" s="103" t="n"/>
      <c r="H81" s="103" t="n"/>
    </row>
    <row r="82" ht="15" customHeight="1" s="67">
      <c r="B82" s="103" t="n"/>
      <c r="C82" s="103" t="n"/>
      <c r="D82" s="103" t="n"/>
      <c r="E82" s="103" t="n"/>
      <c r="F82" s="107" t="n"/>
      <c r="G82" s="103" t="n"/>
      <c r="H82" s="103" t="n"/>
    </row>
    <row r="83" ht="15" customHeight="1" s="67">
      <c r="B83" s="103" t="n"/>
      <c r="C83" s="103" t="n"/>
      <c r="D83" s="103" t="n"/>
      <c r="E83" s="103" t="n"/>
      <c r="F83" s="107" t="n"/>
      <c r="G83" s="103" t="n"/>
      <c r="H83" s="103" t="n"/>
    </row>
    <row r="84" ht="15" customHeight="1" s="67">
      <c r="B84" s="103" t="n"/>
      <c r="C84" s="103" t="n"/>
      <c r="D84" s="103" t="n"/>
      <c r="E84" s="103" t="n"/>
      <c r="F84" s="107" t="n"/>
      <c r="G84" s="103" t="n"/>
      <c r="H84" s="103" t="n"/>
    </row>
    <row r="85" ht="15" customHeight="1" s="67">
      <c r="B85" s="103" t="n"/>
      <c r="C85" s="103" t="n"/>
      <c r="D85" s="103" t="n"/>
      <c r="E85" s="103" t="n"/>
      <c r="F85" s="107" t="n"/>
      <c r="G85" s="103" t="n"/>
      <c r="H85" s="103" t="n"/>
    </row>
    <row r="86" ht="15" customHeight="1" s="67">
      <c r="B86" s="103" t="n"/>
      <c r="C86" s="103" t="n"/>
      <c r="D86" s="103" t="n"/>
      <c r="E86" s="103" t="n"/>
      <c r="F86" s="107" t="n"/>
      <c r="G86" s="103" t="n"/>
      <c r="H86" s="103" t="n"/>
    </row>
    <row r="87" ht="15" customHeight="1" s="67">
      <c r="B87" s="103" t="n"/>
      <c r="C87" s="103" t="n"/>
      <c r="D87" s="103" t="n"/>
      <c r="E87" s="103" t="n"/>
      <c r="F87" s="107" t="n"/>
      <c r="G87" s="103" t="n"/>
      <c r="H87" s="103" t="n"/>
    </row>
    <row r="88" ht="15" customHeight="1" s="67">
      <c r="B88" s="103" t="n"/>
      <c r="C88" s="103" t="n"/>
      <c r="D88" s="103" t="n"/>
      <c r="E88" s="103" t="n"/>
      <c r="F88" s="107" t="n"/>
      <c r="G88" s="103" t="n"/>
      <c r="H88" s="103" t="n"/>
    </row>
    <row r="89" ht="15" customHeight="1" s="67">
      <c r="B89" s="103" t="n"/>
      <c r="C89" s="103" t="n"/>
      <c r="D89" s="103" t="n"/>
      <c r="E89" s="103" t="n"/>
      <c r="F89" s="107" t="n"/>
      <c r="G89" s="103" t="n"/>
      <c r="H89" s="103" t="n"/>
    </row>
    <row r="90" ht="15" customHeight="1" s="67">
      <c r="B90" s="103" t="n"/>
      <c r="C90" s="103" t="n"/>
      <c r="D90" s="103" t="n"/>
      <c r="E90" s="103" t="n"/>
      <c r="F90" s="107" t="n"/>
      <c r="G90" s="103" t="n"/>
      <c r="H90" s="103" t="n"/>
    </row>
    <row r="91" ht="15" customHeight="1" s="67">
      <c r="B91" s="103" t="n"/>
      <c r="C91" s="103" t="n"/>
      <c r="D91" s="103" t="n"/>
      <c r="E91" s="103" t="n"/>
      <c r="F91" s="107" t="n"/>
      <c r="G91" s="103" t="n"/>
      <c r="H91" s="103" t="n"/>
    </row>
    <row r="92" ht="15" customHeight="1" s="67">
      <c r="B92" s="103" t="n"/>
      <c r="C92" s="103" t="n"/>
      <c r="D92" s="103" t="n"/>
      <c r="E92" s="103" t="n"/>
      <c r="F92" s="107" t="n"/>
      <c r="G92" s="103" t="n"/>
      <c r="H92" s="103" t="n"/>
    </row>
    <row r="93" ht="15" customHeight="1" s="67">
      <c r="B93" s="103" t="n"/>
      <c r="C93" s="103" t="n"/>
      <c r="D93" s="103" t="n"/>
      <c r="E93" s="103" t="n"/>
      <c r="F93" s="107" t="n"/>
      <c r="G93" s="103" t="n"/>
      <c r="H93" s="103" t="n"/>
    </row>
    <row r="94" ht="15" customHeight="1" s="67">
      <c r="B94" s="103" t="n"/>
      <c r="C94" s="103" t="n"/>
      <c r="D94" s="103" t="n"/>
      <c r="E94" s="103" t="n"/>
      <c r="F94" s="107" t="n"/>
      <c r="G94" s="103" t="n"/>
      <c r="H94" s="103" t="n"/>
    </row>
    <row r="95" ht="15" customHeight="1" s="67">
      <c r="B95" s="103" t="n"/>
      <c r="C95" s="103" t="n"/>
      <c r="D95" s="103" t="n"/>
      <c r="E95" s="103" t="n"/>
      <c r="F95" s="107" t="n"/>
      <c r="G95" s="103" t="n"/>
      <c r="H95" s="103" t="n"/>
    </row>
    <row r="96" ht="15" customHeight="1" s="67">
      <c r="B96" s="103" t="n"/>
      <c r="C96" s="103" t="n"/>
      <c r="D96" s="103" t="n"/>
      <c r="E96" s="103" t="n"/>
      <c r="F96" s="107" t="n"/>
      <c r="G96" s="103" t="n"/>
      <c r="H96" s="103" t="n"/>
    </row>
    <row r="97" ht="15" customHeight="1" s="67">
      <c r="B97" s="103" t="n"/>
      <c r="C97" s="103" t="n"/>
      <c r="D97" s="103" t="n"/>
      <c r="E97" s="103" t="n"/>
      <c r="F97" s="107" t="n"/>
      <c r="G97" s="103" t="n"/>
      <c r="H97" s="103" t="n"/>
    </row>
    <row r="98" ht="15" customHeight="1" s="67">
      <c r="B98" s="103" t="n"/>
      <c r="C98" s="103" t="n"/>
      <c r="D98" s="103" t="n"/>
      <c r="E98" s="103" t="n"/>
      <c r="F98" s="107" t="n"/>
      <c r="G98" s="103" t="n"/>
      <c r="H98" s="103" t="n"/>
    </row>
    <row r="99" ht="15" customHeight="1" s="67">
      <c r="B99" s="103" t="n"/>
      <c r="C99" s="103" t="n"/>
      <c r="D99" s="103" t="n"/>
      <c r="E99" s="103" t="n"/>
      <c r="F99" s="107" t="n"/>
      <c r="G99" s="103" t="n"/>
      <c r="H99" s="103" t="n"/>
    </row>
  </sheetData>
  <mergeCells count="3">
    <mergeCell ref="B3:H3"/>
    <mergeCell ref="B2:H2"/>
    <mergeCell ref="B4:H4"/>
  </mergeCells>
  <dataValidations count="1">
    <dataValidation sqref="E6:E100" showDropDown="0" showInputMessage="0" showErrorMessage="1" allowBlank="1" errorTitle="Invalid intensity" error="Please select Low, Med, or High" type="list">
      <formula1>"Low,Med,High"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B5CF6"/>
    <outlinePr summaryBelow="1" summaryRight="1"/>
    <pageSetUpPr fitToPage="0"/>
  </sheetPr>
  <dimension ref="A2:E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baseColWidth="8" defaultColWidth="8.59765625" defaultRowHeight="15" zeroHeight="0" outlineLevelRow="0"/>
  <cols>
    <col width="2" customWidth="1" style="66" min="1" max="1"/>
    <col width="16" customWidth="1" style="66" min="2" max="2"/>
    <col width="14" customWidth="1" style="66" min="3" max="3"/>
    <col width="12" customWidth="1" style="66" min="4" max="4"/>
    <col width="10" customWidth="1" style="66" min="5" max="5"/>
  </cols>
  <sheetData>
    <row r="2" ht="19.7" customHeight="1" s="67">
      <c r="B2" s="97" t="inlineStr">
        <is>
          <t>Weight Log — October 2026</t>
        </is>
      </c>
    </row>
    <row r="3" ht="15" customHeight="1" s="67">
      <c r="B3" s="69" t="inlineStr">
        <is>
          <t>Record your weight whenever you weigh in. Feeds the weight chart and goal tracker.</t>
        </is>
      </c>
    </row>
    <row r="5" ht="15" customHeight="1" s="67">
      <c r="B5" s="108" t="inlineStr">
        <is>
          <t>Goal</t>
        </is>
      </c>
      <c r="C5" s="75" t="inlineStr">
        <is>
          <t>Weight Loss</t>
        </is>
      </c>
    </row>
    <row r="6" ht="15" customHeight="1" s="67">
      <c r="B6" s="109" t="inlineStr">
        <is>
          <t>Start Weight (kg)</t>
        </is>
      </c>
      <c r="C6" s="110" t="n">
        <v>70</v>
      </c>
    </row>
    <row r="7" ht="15" customHeight="1" s="67">
      <c r="B7" s="109" t="inlineStr">
        <is>
          <t>Target Weight (kg)</t>
        </is>
      </c>
      <c r="C7" s="110" t="n">
        <v>65</v>
      </c>
    </row>
    <row r="8" ht="15" customHeight="1" s="67">
      <c r="B8" s="109" t="inlineStr">
        <is>
          <t>Target Date</t>
        </is>
      </c>
      <c r="C8" s="111" t="n">
        <v>46326</v>
      </c>
    </row>
    <row r="9" ht="15" customHeight="1" s="67">
      <c r="B9" s="109" t="inlineStr">
        <is>
          <t>Current Weight</t>
        </is>
      </c>
      <c r="C9" s="144">
        <f>C18</f>
        <v/>
      </c>
    </row>
    <row r="10" ht="15" customHeight="1" s="67">
      <c r="B10" s="109" t="inlineStr">
        <is>
          <t>Change</t>
        </is>
      </c>
      <c r="C10" s="113">
        <f>C9-C6</f>
        <v/>
      </c>
    </row>
    <row r="11" ht="15" customHeight="1" s="67">
      <c r="B11" s="109" t="inlineStr">
        <is>
          <t>Progress</t>
        </is>
      </c>
      <c r="C11" s="114">
        <f>IF(C7-C6=0,0,(C9-C6)/(C7-C6))</f>
        <v/>
      </c>
    </row>
    <row r="12" ht="15" customHeight="1" s="67">
      <c r="B12" s="115" t="inlineStr">
        <is>
          <t>Height assumed: 1.72m for BMI calc</t>
        </is>
      </c>
    </row>
    <row r="14" ht="15" customHeight="1" s="67">
      <c r="A14" s="100" t="n"/>
      <c r="B14" s="100" t="inlineStr">
        <is>
          <t>Date</t>
        </is>
      </c>
      <c r="C14" s="100" t="inlineStr">
        <is>
          <t>Weight (kg)</t>
        </is>
      </c>
      <c r="D14" s="100" t="inlineStr">
        <is>
          <t>Change</t>
        </is>
      </c>
      <c r="E14" s="100" t="inlineStr">
        <is>
          <t>BMI</t>
        </is>
      </c>
    </row>
    <row r="15" ht="15" customHeight="1" s="67">
      <c r="A15" s="79" t="n"/>
      <c r="B15" s="101" t="n">
        <v>46296</v>
      </c>
      <c r="C15" s="145" t="n">
        <v>70</v>
      </c>
      <c r="D15" s="90" t="n">
        <v>0</v>
      </c>
      <c r="E15" s="141">
        <f>C15/(1.72*1.72)</f>
        <v/>
      </c>
    </row>
    <row r="16" ht="15" customHeight="1" s="67">
      <c r="A16" s="84" t="n"/>
      <c r="B16" s="101" t="n">
        <v>46298</v>
      </c>
      <c r="C16" s="145" t="n">
        <v>69.8</v>
      </c>
      <c r="D16" s="117">
        <f>C16-C15</f>
        <v/>
      </c>
      <c r="E16" s="142">
        <f>C16/(1.72*1.72)</f>
        <v/>
      </c>
    </row>
    <row r="17" ht="15" customHeight="1" s="67">
      <c r="A17" s="79" t="n"/>
      <c r="B17" s="101" t="n">
        <v>46300</v>
      </c>
      <c r="C17" s="145" t="n">
        <v>69.5</v>
      </c>
      <c r="D17" s="90">
        <f>C17-C16</f>
        <v/>
      </c>
      <c r="E17" s="141">
        <f>C17/(1.72*1.72)</f>
        <v/>
      </c>
    </row>
    <row r="18" ht="15" customHeight="1" s="67">
      <c r="A18" s="84" t="n"/>
      <c r="B18" s="101" t="n">
        <v>46302</v>
      </c>
      <c r="C18" s="145" t="n">
        <v>69.59999999999999</v>
      </c>
      <c r="D18" s="117">
        <f>C18-C17</f>
        <v/>
      </c>
      <c r="E18" s="142">
        <f>C18/(1.72*1.72)</f>
        <v/>
      </c>
    </row>
    <row r="19" ht="15" customHeight="1" s="67">
      <c r="B19" s="103" t="n"/>
      <c r="C19" s="103" t="n"/>
      <c r="D19" s="104" t="n"/>
      <c r="E19" s="104" t="n"/>
    </row>
    <row r="20" ht="15" customHeight="1" s="67">
      <c r="B20" s="103" t="n"/>
      <c r="C20" s="103" t="n"/>
      <c r="D20" s="104" t="n"/>
      <c r="E20" s="104" t="n"/>
    </row>
    <row r="21" ht="15" customHeight="1" s="67">
      <c r="B21" s="103" t="n"/>
      <c r="C21" s="103" t="n"/>
      <c r="D21" s="104" t="n"/>
      <c r="E21" s="104" t="n"/>
    </row>
    <row r="22" ht="15" customHeight="1" s="67">
      <c r="B22" s="103" t="n"/>
      <c r="C22" s="103" t="n"/>
      <c r="D22" s="104" t="n"/>
      <c r="E22" s="104" t="n"/>
    </row>
    <row r="23" ht="15" customHeight="1" s="67">
      <c r="B23" s="103" t="n"/>
      <c r="C23" s="103" t="n"/>
      <c r="D23" s="104" t="n"/>
      <c r="E23" s="104" t="n"/>
    </row>
    <row r="24" ht="15" customHeight="1" s="67">
      <c r="B24" s="103" t="n"/>
      <c r="C24" s="103" t="n"/>
      <c r="D24" s="104" t="n"/>
      <c r="E24" s="104" t="n"/>
    </row>
    <row r="25" ht="15" customHeight="1" s="67">
      <c r="B25" s="103" t="n"/>
      <c r="C25" s="103" t="n"/>
      <c r="D25" s="104" t="n"/>
      <c r="E25" s="104" t="n"/>
    </row>
    <row r="26" ht="15" customHeight="1" s="67">
      <c r="B26" s="103" t="n"/>
      <c r="C26" s="103" t="n"/>
      <c r="D26" s="104" t="n"/>
      <c r="E26" s="104" t="n"/>
    </row>
    <row r="27" ht="15" customHeight="1" s="67">
      <c r="B27" s="103" t="n"/>
      <c r="C27" s="103" t="n"/>
      <c r="D27" s="104" t="n"/>
      <c r="E27" s="104" t="n"/>
    </row>
    <row r="28" ht="15" customHeight="1" s="67">
      <c r="B28" s="103" t="n"/>
      <c r="C28" s="103" t="n"/>
      <c r="D28" s="104" t="n"/>
      <c r="E28" s="104" t="n"/>
    </row>
    <row r="29" ht="15" customHeight="1" s="67">
      <c r="B29" s="103" t="n"/>
      <c r="C29" s="103" t="n"/>
      <c r="D29" s="104" t="n"/>
      <c r="E29" s="104" t="n"/>
    </row>
    <row r="30" ht="15" customHeight="1" s="67">
      <c r="B30" s="103" t="n"/>
      <c r="C30" s="103" t="n"/>
      <c r="D30" s="104" t="n"/>
      <c r="E30" s="104" t="n"/>
    </row>
    <row r="31" ht="15" customHeight="1" s="67">
      <c r="B31" s="103" t="n"/>
      <c r="C31" s="103" t="n"/>
      <c r="D31" s="104" t="n"/>
      <c r="E31" s="104" t="n"/>
    </row>
    <row r="32" ht="15" customHeight="1" s="67">
      <c r="B32" s="103" t="n"/>
      <c r="C32" s="103" t="n"/>
      <c r="D32" s="104" t="n"/>
      <c r="E32" s="104" t="n"/>
    </row>
    <row r="33" ht="15" customHeight="1" s="67">
      <c r="B33" s="103" t="n"/>
      <c r="C33" s="103" t="n"/>
      <c r="D33" s="104" t="n"/>
      <c r="E33" s="104" t="n"/>
    </row>
    <row r="34" ht="15" customHeight="1" s="67">
      <c r="B34" s="103" t="n"/>
      <c r="C34" s="103" t="n"/>
      <c r="D34" s="104" t="n"/>
      <c r="E34" s="104" t="n"/>
    </row>
    <row r="35" ht="15" customHeight="1" s="67">
      <c r="B35" s="103" t="n"/>
      <c r="C35" s="103" t="n"/>
      <c r="D35" s="104" t="n"/>
      <c r="E35" s="104" t="n"/>
    </row>
    <row r="36" ht="15" customHeight="1" s="67">
      <c r="B36" s="103" t="n"/>
      <c r="C36" s="103" t="n"/>
      <c r="D36" s="104" t="n"/>
      <c r="E36" s="104" t="n"/>
    </row>
    <row r="37" ht="15" customHeight="1" s="67">
      <c r="B37" s="103" t="n"/>
      <c r="C37" s="103" t="n"/>
      <c r="D37" s="104" t="n"/>
      <c r="E37" s="104" t="n"/>
    </row>
    <row r="38" ht="15" customHeight="1" s="67">
      <c r="B38" s="103" t="n"/>
      <c r="C38" s="103" t="n"/>
      <c r="D38" s="104" t="n"/>
      <c r="E38" s="104" t="n"/>
    </row>
    <row r="39" ht="15" customHeight="1" s="67">
      <c r="B39" s="103" t="n"/>
      <c r="C39" s="103" t="n"/>
      <c r="D39" s="104" t="n"/>
      <c r="E39" s="104" t="n"/>
    </row>
    <row r="40" ht="15" customHeight="1" s="67">
      <c r="B40" s="103" t="n"/>
      <c r="C40" s="103" t="n"/>
      <c r="D40" s="104" t="n"/>
      <c r="E40" s="104" t="n"/>
    </row>
    <row r="41" ht="15" customHeight="1" s="67">
      <c r="B41" s="103" t="n"/>
      <c r="C41" s="103" t="n"/>
      <c r="D41" s="104" t="n"/>
      <c r="E41" s="104" t="n"/>
    </row>
    <row r="42" ht="15" customHeight="1" s="67">
      <c r="B42" s="103" t="n"/>
      <c r="C42" s="103" t="n"/>
      <c r="D42" s="104" t="n"/>
      <c r="E42" s="104" t="n"/>
    </row>
    <row r="43" ht="15" customHeight="1" s="67">
      <c r="B43" s="103" t="n"/>
      <c r="C43" s="103" t="n"/>
      <c r="D43" s="104" t="n"/>
      <c r="E43" s="104" t="n"/>
    </row>
    <row r="44" ht="15" customHeight="1" s="67">
      <c r="B44" s="103" t="n"/>
      <c r="C44" s="103" t="n"/>
      <c r="D44" s="104" t="n"/>
      <c r="E44" s="104" t="n"/>
    </row>
    <row r="45" ht="15" customHeight="1" s="67">
      <c r="B45" s="103" t="n"/>
      <c r="C45" s="103" t="n"/>
      <c r="D45" s="104" t="n"/>
      <c r="E45" s="104" t="n"/>
    </row>
    <row r="46" ht="15" customHeight="1" s="67">
      <c r="B46" s="103" t="n"/>
      <c r="C46" s="103" t="n"/>
      <c r="D46" s="104" t="n"/>
      <c r="E46" s="104" t="n"/>
    </row>
    <row r="47" ht="15" customHeight="1" s="67">
      <c r="B47" s="103" t="n"/>
      <c r="C47" s="103" t="n"/>
      <c r="D47" s="104" t="n"/>
      <c r="E47" s="104" t="n"/>
    </row>
    <row r="48" ht="15" customHeight="1" s="67">
      <c r="B48" s="103" t="n"/>
      <c r="C48" s="103" t="n"/>
      <c r="D48" s="104" t="n"/>
      <c r="E48" s="104" t="n"/>
    </row>
    <row r="49" ht="15" customHeight="1" s="67">
      <c r="B49" s="103" t="n"/>
      <c r="C49" s="103" t="n"/>
      <c r="D49" s="104" t="n"/>
      <c r="E49" s="104" t="n"/>
    </row>
  </sheetData>
  <mergeCells count="3">
    <mergeCell ref="B2:E2"/>
    <mergeCell ref="B3:E3"/>
    <mergeCell ref="C5:D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EF4444"/>
    <outlinePr summaryBelow="1" summaryRight="1"/>
    <pageSetUpPr fitToPage="0"/>
  </sheetPr>
  <dimension ref="A2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2" customWidth="1" style="66" min="1" max="1"/>
    <col width="14" customWidth="1" style="66" min="2" max="8"/>
  </cols>
  <sheetData>
    <row r="2" ht="19.7" customHeight="1" s="67">
      <c r="B2" s="97" t="inlineStr">
        <is>
          <t>Health Calendar — October 2026</t>
        </is>
      </c>
    </row>
    <row r="3" ht="15" customHeight="1" s="67">
      <c r="B3" s="69" t="inlineStr">
        <is>
          <t>Each day is color-coded by average healthiness score from the Food Log.</t>
        </is>
      </c>
    </row>
    <row r="5" ht="15" customHeight="1" s="67">
      <c r="B5" s="118" t="inlineStr">
        <is>
          <t>Healthy (4-5)</t>
        </is>
      </c>
      <c r="D5" s="119" t="inlineStr">
        <is>
          <t>Mixed (2.5-3.9)</t>
        </is>
      </c>
      <c r="F5" s="120" t="inlineStr">
        <is>
          <t>Unhealthy (&lt;2.5)</t>
        </is>
      </c>
      <c r="H5" s="121" t="inlineStr">
        <is>
          <t>No data</t>
        </is>
      </c>
    </row>
    <row r="7" ht="15" customHeight="1" s="67">
      <c r="A7" s="100" t="n"/>
      <c r="B7" s="100" t="inlineStr">
        <is>
          <t>Sun</t>
        </is>
      </c>
      <c r="C7" s="100" t="inlineStr">
        <is>
          <t>Mon</t>
        </is>
      </c>
      <c r="D7" s="100" t="inlineStr">
        <is>
          <t>Tue</t>
        </is>
      </c>
      <c r="E7" s="100" t="inlineStr">
        <is>
          <t>Wed</t>
        </is>
      </c>
      <c r="F7" s="100" t="inlineStr">
        <is>
          <t>Thu</t>
        </is>
      </c>
      <c r="G7" s="100" t="inlineStr">
        <is>
          <t>Fri</t>
        </is>
      </c>
      <c r="H7" s="100" t="inlineStr">
        <is>
          <t>Sat</t>
        </is>
      </c>
      <c r="I7" s="100" t="n"/>
    </row>
    <row r="8" ht="27.75" customHeight="1" s="67">
      <c r="B8" s="122" t="n"/>
      <c r="C8" s="122" t="n"/>
      <c r="D8" s="122" t="n"/>
      <c r="E8" s="122" t="n"/>
      <c r="F8" s="123" t="n">
        <v>1</v>
      </c>
      <c r="G8" s="124" t="n">
        <v>2</v>
      </c>
      <c r="H8" s="123" t="n">
        <v>3</v>
      </c>
    </row>
    <row r="9" ht="18" customHeight="1" s="67">
      <c r="B9" s="122" t="n"/>
      <c r="C9" s="122" t="n"/>
      <c r="D9" s="122" t="n"/>
      <c r="E9" s="122" t="n"/>
      <c r="F9" s="146" t="n">
        <v>3.5</v>
      </c>
      <c r="G9" s="147" t="n">
        <v>4</v>
      </c>
      <c r="H9" s="146" t="n">
        <v>3.7</v>
      </c>
    </row>
    <row r="10" ht="3.75" customHeight="1" s="67"/>
    <row r="11" ht="27.75" customHeight="1" s="67">
      <c r="B11" s="123" t="n">
        <v>4</v>
      </c>
      <c r="C11" s="124" t="n">
        <v>5</v>
      </c>
      <c r="D11" s="127" t="n">
        <v>6</v>
      </c>
      <c r="E11" s="124" t="n">
        <v>7</v>
      </c>
      <c r="F11" s="128" t="n">
        <v>8</v>
      </c>
      <c r="G11" s="128" t="n">
        <v>9</v>
      </c>
      <c r="H11" s="128" t="n">
        <v>10</v>
      </c>
    </row>
    <row r="12" ht="18" customHeight="1" s="67">
      <c r="B12" s="146" t="n">
        <v>3</v>
      </c>
      <c r="C12" s="147" t="n">
        <v>4.7</v>
      </c>
      <c r="D12" s="148" t="n">
        <v>2.2</v>
      </c>
      <c r="E12" s="147" t="n">
        <v>4.5</v>
      </c>
      <c r="F12" s="130" t="inlineStr">
        <is>
          <t>-</t>
        </is>
      </c>
      <c r="G12" s="130" t="inlineStr">
        <is>
          <t>-</t>
        </is>
      </c>
      <c r="H12" s="130" t="inlineStr">
        <is>
          <t>-</t>
        </is>
      </c>
    </row>
    <row r="13" ht="3.75" customHeight="1" s="67"/>
    <row r="14" ht="27.75" customHeight="1" s="67">
      <c r="B14" s="128" t="n">
        <v>11</v>
      </c>
      <c r="C14" s="128" t="n">
        <v>12</v>
      </c>
      <c r="D14" s="128" t="n">
        <v>13</v>
      </c>
      <c r="E14" s="128" t="n">
        <v>14</v>
      </c>
      <c r="F14" s="128" t="n">
        <v>15</v>
      </c>
      <c r="G14" s="128" t="n">
        <v>16</v>
      </c>
      <c r="H14" s="128" t="n">
        <v>17</v>
      </c>
    </row>
    <row r="15" ht="18" customHeight="1" s="67">
      <c r="B15" s="130" t="inlineStr">
        <is>
          <t>-</t>
        </is>
      </c>
      <c r="C15" s="130" t="inlineStr">
        <is>
          <t>-</t>
        </is>
      </c>
      <c r="D15" s="130" t="inlineStr">
        <is>
          <t>-</t>
        </is>
      </c>
      <c r="E15" s="130" t="inlineStr">
        <is>
          <t>-</t>
        </is>
      </c>
      <c r="F15" s="130" t="inlineStr">
        <is>
          <t>-</t>
        </is>
      </c>
      <c r="G15" s="130" t="inlineStr">
        <is>
          <t>-</t>
        </is>
      </c>
      <c r="H15" s="130" t="inlineStr">
        <is>
          <t>-</t>
        </is>
      </c>
    </row>
    <row r="16" ht="3.75" customHeight="1" s="67"/>
    <row r="17" ht="27.75" customHeight="1" s="67">
      <c r="B17" s="128" t="n">
        <v>18</v>
      </c>
      <c r="C17" s="128" t="n">
        <v>19</v>
      </c>
      <c r="D17" s="128" t="n">
        <v>20</v>
      </c>
      <c r="E17" s="128" t="n">
        <v>21</v>
      </c>
      <c r="F17" s="128" t="n">
        <v>22</v>
      </c>
      <c r="G17" s="128" t="n">
        <v>23</v>
      </c>
      <c r="H17" s="128" t="n">
        <v>24</v>
      </c>
    </row>
    <row r="18" ht="18" customHeight="1" s="67">
      <c r="B18" s="130" t="inlineStr">
        <is>
          <t>-</t>
        </is>
      </c>
      <c r="C18" s="130" t="inlineStr">
        <is>
          <t>-</t>
        </is>
      </c>
      <c r="D18" s="130" t="inlineStr">
        <is>
          <t>-</t>
        </is>
      </c>
      <c r="E18" s="130" t="inlineStr">
        <is>
          <t>-</t>
        </is>
      </c>
      <c r="F18" s="130" t="inlineStr">
        <is>
          <t>-</t>
        </is>
      </c>
      <c r="G18" s="130" t="inlineStr">
        <is>
          <t>-</t>
        </is>
      </c>
      <c r="H18" s="130" t="inlineStr">
        <is>
          <t>-</t>
        </is>
      </c>
    </row>
    <row r="19" ht="3.75" customHeight="1" s="67"/>
    <row r="20" ht="27.75" customHeight="1" s="67">
      <c r="B20" s="128" t="n">
        <v>25</v>
      </c>
      <c r="C20" s="128" t="n">
        <v>26</v>
      </c>
      <c r="D20" s="128" t="n">
        <v>27</v>
      </c>
      <c r="E20" s="128" t="n">
        <v>28</v>
      </c>
      <c r="F20" s="128" t="n">
        <v>29</v>
      </c>
      <c r="G20" s="128" t="n">
        <v>30</v>
      </c>
      <c r="H20" s="128" t="n">
        <v>31</v>
      </c>
    </row>
    <row r="21" ht="18" customHeight="1" s="67">
      <c r="B21" s="130" t="inlineStr">
        <is>
          <t>-</t>
        </is>
      </c>
      <c r="C21" s="130" t="inlineStr">
        <is>
          <t>-</t>
        </is>
      </c>
      <c r="D21" s="130" t="inlineStr">
        <is>
          <t>-</t>
        </is>
      </c>
      <c r="E21" s="130" t="inlineStr">
        <is>
          <t>-</t>
        </is>
      </c>
      <c r="F21" s="130" t="inlineStr">
        <is>
          <t>-</t>
        </is>
      </c>
      <c r="G21" s="130" t="inlineStr">
        <is>
          <t>-</t>
        </is>
      </c>
      <c r="H21" s="130" t="inlineStr">
        <is>
          <t>-</t>
        </is>
      </c>
    </row>
    <row r="22" ht="3.75" customHeight="1" s="67"/>
  </sheetData>
  <mergeCells count="2">
    <mergeCell ref="B3:H3"/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6366F1"/>
    <outlinePr summaryBelow="1" summaryRight="1"/>
    <pageSetUpPr fitToPage="0"/>
  </sheetPr>
  <dimension ref="A2:K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2" customWidth="1" style="66" min="1" max="1"/>
    <col width="4" customWidth="1" style="66" min="2" max="2"/>
    <col width="13" customWidth="1" style="66" min="3" max="3"/>
    <col width="12" customWidth="1" style="66" min="4" max="12"/>
  </cols>
  <sheetData>
    <row r="2" ht="19.7" customHeight="1" s="67">
      <c r="B2" s="97" t="inlineStr">
        <is>
          <t>Dashboard Data (Auto-calculated)</t>
        </is>
      </c>
    </row>
    <row r="3" ht="15" customHeight="1" s="67">
      <c r="B3" s="69" t="inlineStr">
        <is>
          <t>This tab is populated by formulas. Do not edit manually.</t>
        </is>
      </c>
    </row>
    <row r="5" ht="15" customHeight="1" s="67">
      <c r="B5" s="76" t="inlineStr">
        <is>
          <t>Daily Nutrition Summary</t>
        </is>
      </c>
    </row>
    <row r="6" ht="26.85" customHeight="1" s="67">
      <c r="A6" s="100" t="n"/>
      <c r="B6" s="100" t="inlineStr">
        <is>
          <t>Date</t>
        </is>
      </c>
      <c r="C6" s="100" t="inlineStr">
        <is>
          <t>Avg Health
Score</t>
        </is>
      </c>
      <c r="D6" s="100" t="inlineStr">
        <is>
          <t>Total
Protein (g)</t>
        </is>
      </c>
      <c r="E6" s="100" t="inlineStr">
        <is>
          <t>Total
Carbs (g)</t>
        </is>
      </c>
      <c r="F6" s="100" t="inlineStr">
        <is>
          <t>Total
Fibre (g)</t>
        </is>
      </c>
      <c r="G6" s="100" t="inlineStr">
        <is>
          <t>Total
Fat (g)</t>
        </is>
      </c>
      <c r="H6" s="100" t="inlineStr">
        <is>
          <t>Avg Vitamin
Score</t>
        </is>
      </c>
      <c r="I6" s="100" t="inlineStr">
        <is>
          <t>Total
Calories</t>
        </is>
      </c>
      <c r="J6" s="100" t="inlineStr">
        <is>
          <t>Meals
Count</t>
        </is>
      </c>
    </row>
    <row r="7" ht="15" customHeight="1" s="67">
      <c r="A7" s="79" t="n"/>
      <c r="B7" s="80" t="n">
        <v>1</v>
      </c>
      <c r="C7" s="131" t="n">
        <v>46296</v>
      </c>
      <c r="D7" s="141">
        <f>IFERROR(AVERAGEIF('Food Log'!$B$8:$B$200,C7,'Food Log'!$E$8:$E$200),0)</f>
        <v/>
      </c>
      <c r="E7" s="82">
        <f>SUMIF('Food Log'!$B$8:$B$200,C7,'Food Log'!$F$8:$F$200)</f>
        <v/>
      </c>
      <c r="F7" s="82">
        <f>SUMIF('Food Log'!$B$8:$B$200,C7,'Food Log'!$G$8:$G$200)</f>
        <v/>
      </c>
      <c r="G7" s="82">
        <f>SUMIF('Food Log'!$B$8:$B$200,C7,'Food Log'!$H$8:$H$200)</f>
        <v/>
      </c>
      <c r="H7" s="82">
        <f>SUMIF('Food Log'!$B$8:$B$200,C7,'Food Log'!$I$8:$I$200)</f>
        <v/>
      </c>
      <c r="I7" s="141">
        <f>IFERROR(AVERAGEIF('Food Log'!$B$8:$B$200,C7,'Food Log'!$J$8:$J$200),0)</f>
        <v/>
      </c>
      <c r="J7" s="82">
        <f>SUMIF('Food Log'!$B$8:$B$200,C7,'Food Log'!$K$8:$K$200)</f>
        <v/>
      </c>
      <c r="K7" s="66">
        <f>COUNTIF('Food Log'!$B$8:$B$200,C7)</f>
        <v/>
      </c>
    </row>
    <row r="8" ht="15" customHeight="1" s="67">
      <c r="A8" s="84" t="n"/>
      <c r="B8" s="85" t="n">
        <v>2</v>
      </c>
      <c r="C8" s="132" t="n">
        <v>46297</v>
      </c>
      <c r="D8" s="142">
        <f>IFERROR(AVERAGEIF('Food Log'!$B$8:$B$200,C8,'Food Log'!$E$8:$E$200),0)</f>
        <v/>
      </c>
      <c r="E8" s="87">
        <f>SUMIF('Food Log'!$B$8:$B$200,C8,'Food Log'!$F$8:$F$200)</f>
        <v/>
      </c>
      <c r="F8" s="87">
        <f>SUMIF('Food Log'!$B$8:$B$200,C8,'Food Log'!$G$8:$G$200)</f>
        <v/>
      </c>
      <c r="G8" s="87">
        <f>SUMIF('Food Log'!$B$8:$B$200,C8,'Food Log'!$H$8:$H$200)</f>
        <v/>
      </c>
      <c r="H8" s="87">
        <f>SUMIF('Food Log'!$B$8:$B$200,C8,'Food Log'!$I$8:$I$200)</f>
        <v/>
      </c>
      <c r="I8" s="142">
        <f>IFERROR(AVERAGEIF('Food Log'!$B$8:$B$200,C8,'Food Log'!$J$8:$J$200),0)</f>
        <v/>
      </c>
      <c r="J8" s="87">
        <f>SUMIF('Food Log'!$B$8:$B$200,C8,'Food Log'!$K$8:$K$200)</f>
        <v/>
      </c>
      <c r="K8" s="66">
        <f>COUNTIF('Food Log'!$B$8:$B$200,C8)</f>
        <v/>
      </c>
    </row>
    <row r="9" ht="15" customHeight="1" s="67">
      <c r="A9" s="79" t="n"/>
      <c r="B9" s="80" t="n">
        <v>3</v>
      </c>
      <c r="C9" s="131" t="n">
        <v>46298</v>
      </c>
      <c r="D9" s="141">
        <f>IFERROR(AVERAGEIF('Food Log'!$B$8:$B$200,C9,'Food Log'!$E$8:$E$200),0)</f>
        <v/>
      </c>
      <c r="E9" s="82">
        <f>SUMIF('Food Log'!$B$8:$B$200,C9,'Food Log'!$F$8:$F$200)</f>
        <v/>
      </c>
      <c r="F9" s="82">
        <f>SUMIF('Food Log'!$B$8:$B$200,C9,'Food Log'!$G$8:$G$200)</f>
        <v/>
      </c>
      <c r="G9" s="82">
        <f>SUMIF('Food Log'!$B$8:$B$200,C9,'Food Log'!$H$8:$H$200)</f>
        <v/>
      </c>
      <c r="H9" s="82">
        <f>SUMIF('Food Log'!$B$8:$B$200,C9,'Food Log'!$I$8:$I$200)</f>
        <v/>
      </c>
      <c r="I9" s="141">
        <f>IFERROR(AVERAGEIF('Food Log'!$B$8:$B$200,C9,'Food Log'!$J$8:$J$200),0)</f>
        <v/>
      </c>
      <c r="J9" s="82">
        <f>SUMIF('Food Log'!$B$8:$B$200,C9,'Food Log'!$K$8:$K$200)</f>
        <v/>
      </c>
      <c r="K9" s="66">
        <f>COUNTIF('Food Log'!$B$8:$B$200,C9)</f>
        <v/>
      </c>
    </row>
    <row r="10" ht="15" customHeight="1" s="67">
      <c r="A10" s="84" t="n"/>
      <c r="B10" s="85" t="n">
        <v>4</v>
      </c>
      <c r="C10" s="132" t="n">
        <v>46299</v>
      </c>
      <c r="D10" s="142">
        <f>IFERROR(AVERAGEIF('Food Log'!$B$8:$B$200,C10,'Food Log'!$E$8:$E$200),0)</f>
        <v/>
      </c>
      <c r="E10" s="87">
        <f>SUMIF('Food Log'!$B$8:$B$200,C10,'Food Log'!$F$8:$F$200)</f>
        <v/>
      </c>
      <c r="F10" s="87">
        <f>SUMIF('Food Log'!$B$8:$B$200,C10,'Food Log'!$G$8:$G$200)</f>
        <v/>
      </c>
      <c r="G10" s="87">
        <f>SUMIF('Food Log'!$B$8:$B$200,C10,'Food Log'!$H$8:$H$200)</f>
        <v/>
      </c>
      <c r="H10" s="87">
        <f>SUMIF('Food Log'!$B$8:$B$200,C10,'Food Log'!$I$8:$I$200)</f>
        <v/>
      </c>
      <c r="I10" s="142">
        <f>IFERROR(AVERAGEIF('Food Log'!$B$8:$B$200,C10,'Food Log'!$J$8:$J$200),0)</f>
        <v/>
      </c>
      <c r="J10" s="87">
        <f>SUMIF('Food Log'!$B$8:$B$200,C10,'Food Log'!$K$8:$K$200)</f>
        <v/>
      </c>
      <c r="K10" s="66">
        <f>COUNTIF('Food Log'!$B$8:$B$200,C10)</f>
        <v/>
      </c>
    </row>
    <row r="11" ht="15" customHeight="1" s="67">
      <c r="A11" s="79" t="n"/>
      <c r="B11" s="80" t="n">
        <v>5</v>
      </c>
      <c r="C11" s="131" t="n">
        <v>46300</v>
      </c>
      <c r="D11" s="141">
        <f>IFERROR(AVERAGEIF('Food Log'!$B$8:$B$200,C11,'Food Log'!$E$8:$E$200),0)</f>
        <v/>
      </c>
      <c r="E11" s="82">
        <f>SUMIF('Food Log'!$B$8:$B$200,C11,'Food Log'!$F$8:$F$200)</f>
        <v/>
      </c>
      <c r="F11" s="82">
        <f>SUMIF('Food Log'!$B$8:$B$200,C11,'Food Log'!$G$8:$G$200)</f>
        <v/>
      </c>
      <c r="G11" s="82">
        <f>SUMIF('Food Log'!$B$8:$B$200,C11,'Food Log'!$H$8:$H$200)</f>
        <v/>
      </c>
      <c r="H11" s="82">
        <f>SUMIF('Food Log'!$B$8:$B$200,C11,'Food Log'!$I$8:$I$200)</f>
        <v/>
      </c>
      <c r="I11" s="141">
        <f>IFERROR(AVERAGEIF('Food Log'!$B$8:$B$200,C11,'Food Log'!$J$8:$J$200),0)</f>
        <v/>
      </c>
      <c r="J11" s="82">
        <f>SUMIF('Food Log'!$B$8:$B$200,C11,'Food Log'!$K$8:$K$200)</f>
        <v/>
      </c>
      <c r="K11" s="66">
        <f>COUNTIF('Food Log'!$B$8:$B$200,C11)</f>
        <v/>
      </c>
    </row>
    <row r="12" ht="15" customHeight="1" s="67">
      <c r="A12" s="84" t="n"/>
      <c r="B12" s="85" t="n">
        <v>6</v>
      </c>
      <c r="C12" s="132" t="n">
        <v>46301</v>
      </c>
      <c r="D12" s="142">
        <f>IFERROR(AVERAGEIF('Food Log'!$B$8:$B$200,C12,'Food Log'!$E$8:$E$200),0)</f>
        <v/>
      </c>
      <c r="E12" s="87">
        <f>SUMIF('Food Log'!$B$8:$B$200,C12,'Food Log'!$F$8:$F$200)</f>
        <v/>
      </c>
      <c r="F12" s="87">
        <f>SUMIF('Food Log'!$B$8:$B$200,C12,'Food Log'!$G$8:$G$200)</f>
        <v/>
      </c>
      <c r="G12" s="87">
        <f>SUMIF('Food Log'!$B$8:$B$200,C12,'Food Log'!$H$8:$H$200)</f>
        <v/>
      </c>
      <c r="H12" s="87">
        <f>SUMIF('Food Log'!$B$8:$B$200,C12,'Food Log'!$I$8:$I$200)</f>
        <v/>
      </c>
      <c r="I12" s="142">
        <f>IFERROR(AVERAGEIF('Food Log'!$B$8:$B$200,C12,'Food Log'!$J$8:$J$200),0)</f>
        <v/>
      </c>
      <c r="J12" s="87">
        <f>SUMIF('Food Log'!$B$8:$B$200,C12,'Food Log'!$K$8:$K$200)</f>
        <v/>
      </c>
      <c r="K12" s="66">
        <f>COUNTIF('Food Log'!$B$8:$B$200,C12)</f>
        <v/>
      </c>
    </row>
    <row r="13" ht="15" customHeight="1" s="67">
      <c r="A13" s="79" t="n"/>
      <c r="B13" s="80" t="n">
        <v>7</v>
      </c>
      <c r="C13" s="131" t="n">
        <v>46302</v>
      </c>
      <c r="D13" s="141">
        <f>IFERROR(AVERAGEIF('Food Log'!$B$8:$B$200,C13,'Food Log'!$E$8:$E$200),0)</f>
        <v/>
      </c>
      <c r="E13" s="82">
        <f>SUMIF('Food Log'!$B$8:$B$200,C13,'Food Log'!$F$8:$F$200)</f>
        <v/>
      </c>
      <c r="F13" s="82">
        <f>SUMIF('Food Log'!$B$8:$B$200,C13,'Food Log'!$G$8:$G$200)</f>
        <v/>
      </c>
      <c r="G13" s="82">
        <f>SUMIF('Food Log'!$B$8:$B$200,C13,'Food Log'!$H$8:$H$200)</f>
        <v/>
      </c>
      <c r="H13" s="82">
        <f>SUMIF('Food Log'!$B$8:$B$200,C13,'Food Log'!$I$8:$I$200)</f>
        <v/>
      </c>
      <c r="I13" s="141">
        <f>IFERROR(AVERAGEIF('Food Log'!$B$8:$B$200,C13,'Food Log'!$J$8:$J$200),0)</f>
        <v/>
      </c>
      <c r="J13" s="82">
        <f>SUMIF('Food Log'!$B$8:$B$200,C13,'Food Log'!$K$8:$K$200)</f>
        <v/>
      </c>
      <c r="K13" s="66">
        <f>COUNTIF('Food Log'!$B$8:$B$200,C13)</f>
        <v/>
      </c>
    </row>
    <row r="14" ht="15" customHeight="1" s="67">
      <c r="A14" s="84" t="n"/>
      <c r="B14" s="85" t="n">
        <v>8</v>
      </c>
      <c r="C14" s="132" t="n">
        <v>46303</v>
      </c>
      <c r="D14" s="142">
        <f>IFERROR(AVERAGEIF('Food Log'!$B$8:$B$200,C14,'Food Log'!$E$8:$E$200),0)</f>
        <v/>
      </c>
      <c r="E14" s="87">
        <f>SUMIF('Food Log'!$B$8:$B$200,C14,'Food Log'!$F$8:$F$200)</f>
        <v/>
      </c>
      <c r="F14" s="87">
        <f>SUMIF('Food Log'!$B$8:$B$200,C14,'Food Log'!$G$8:$G$200)</f>
        <v/>
      </c>
      <c r="G14" s="87">
        <f>SUMIF('Food Log'!$B$8:$B$200,C14,'Food Log'!$H$8:$H$200)</f>
        <v/>
      </c>
      <c r="H14" s="87">
        <f>SUMIF('Food Log'!$B$8:$B$200,C14,'Food Log'!$I$8:$I$200)</f>
        <v/>
      </c>
      <c r="I14" s="142">
        <f>IFERROR(AVERAGEIF('Food Log'!$B$8:$B$200,C14,'Food Log'!$J$8:$J$200),0)</f>
        <v/>
      </c>
      <c r="J14" s="87">
        <f>SUMIF('Food Log'!$B$8:$B$200,C14,'Food Log'!$K$8:$K$200)</f>
        <v/>
      </c>
      <c r="K14" s="66">
        <f>COUNTIF('Food Log'!$B$8:$B$200,C14)</f>
        <v/>
      </c>
    </row>
    <row r="15" ht="15" customHeight="1" s="67">
      <c r="A15" s="79" t="n"/>
      <c r="B15" s="80" t="n">
        <v>9</v>
      </c>
      <c r="C15" s="131" t="n">
        <v>46304</v>
      </c>
      <c r="D15" s="141">
        <f>IFERROR(AVERAGEIF('Food Log'!$B$8:$B$200,C15,'Food Log'!$E$8:$E$200),0)</f>
        <v/>
      </c>
      <c r="E15" s="82">
        <f>SUMIF('Food Log'!$B$8:$B$200,C15,'Food Log'!$F$8:$F$200)</f>
        <v/>
      </c>
      <c r="F15" s="82">
        <f>SUMIF('Food Log'!$B$8:$B$200,C15,'Food Log'!$G$8:$G$200)</f>
        <v/>
      </c>
      <c r="G15" s="82">
        <f>SUMIF('Food Log'!$B$8:$B$200,C15,'Food Log'!$H$8:$H$200)</f>
        <v/>
      </c>
      <c r="H15" s="82">
        <f>SUMIF('Food Log'!$B$8:$B$200,C15,'Food Log'!$I$8:$I$200)</f>
        <v/>
      </c>
      <c r="I15" s="141">
        <f>IFERROR(AVERAGEIF('Food Log'!$B$8:$B$200,C15,'Food Log'!$J$8:$J$200),0)</f>
        <v/>
      </c>
      <c r="J15" s="82">
        <f>SUMIF('Food Log'!$B$8:$B$200,C15,'Food Log'!$K$8:$K$200)</f>
        <v/>
      </c>
      <c r="K15" s="66">
        <f>COUNTIF('Food Log'!$B$8:$B$200,C15)</f>
        <v/>
      </c>
    </row>
    <row r="16" ht="15" customHeight="1" s="67">
      <c r="A16" s="84" t="n"/>
      <c r="B16" s="85" t="n">
        <v>10</v>
      </c>
      <c r="C16" s="132" t="n">
        <v>46305</v>
      </c>
      <c r="D16" s="142">
        <f>IFERROR(AVERAGEIF('Food Log'!$B$8:$B$200,C16,'Food Log'!$E$8:$E$200),0)</f>
        <v/>
      </c>
      <c r="E16" s="87">
        <f>SUMIF('Food Log'!$B$8:$B$200,C16,'Food Log'!$F$8:$F$200)</f>
        <v/>
      </c>
      <c r="F16" s="87">
        <f>SUMIF('Food Log'!$B$8:$B$200,C16,'Food Log'!$G$8:$G$200)</f>
        <v/>
      </c>
      <c r="G16" s="87">
        <f>SUMIF('Food Log'!$B$8:$B$200,C16,'Food Log'!$H$8:$H$200)</f>
        <v/>
      </c>
      <c r="H16" s="87">
        <f>SUMIF('Food Log'!$B$8:$B$200,C16,'Food Log'!$I$8:$I$200)</f>
        <v/>
      </c>
      <c r="I16" s="142">
        <f>IFERROR(AVERAGEIF('Food Log'!$B$8:$B$200,C16,'Food Log'!$J$8:$J$200),0)</f>
        <v/>
      </c>
      <c r="J16" s="87">
        <f>SUMIF('Food Log'!$B$8:$B$200,C16,'Food Log'!$K$8:$K$200)</f>
        <v/>
      </c>
      <c r="K16" s="66">
        <f>COUNTIF('Food Log'!$B$8:$B$200,C16)</f>
        <v/>
      </c>
    </row>
    <row r="17" ht="15" customHeight="1" s="67">
      <c r="A17" s="79" t="n"/>
      <c r="B17" s="80" t="n">
        <v>11</v>
      </c>
      <c r="C17" s="131" t="n">
        <v>46306</v>
      </c>
      <c r="D17" s="141">
        <f>IFERROR(AVERAGEIF('Food Log'!$B$8:$B$200,C17,'Food Log'!$E$8:$E$200),0)</f>
        <v/>
      </c>
      <c r="E17" s="82">
        <f>SUMIF('Food Log'!$B$8:$B$200,C17,'Food Log'!$F$8:$F$200)</f>
        <v/>
      </c>
      <c r="F17" s="82">
        <f>SUMIF('Food Log'!$B$8:$B$200,C17,'Food Log'!$G$8:$G$200)</f>
        <v/>
      </c>
      <c r="G17" s="82">
        <f>SUMIF('Food Log'!$B$8:$B$200,C17,'Food Log'!$H$8:$H$200)</f>
        <v/>
      </c>
      <c r="H17" s="82">
        <f>SUMIF('Food Log'!$B$8:$B$200,C17,'Food Log'!$I$8:$I$200)</f>
        <v/>
      </c>
      <c r="I17" s="141">
        <f>IFERROR(AVERAGEIF('Food Log'!$B$8:$B$200,C17,'Food Log'!$J$8:$J$200),0)</f>
        <v/>
      </c>
      <c r="J17" s="82">
        <f>SUMIF('Food Log'!$B$8:$B$200,C17,'Food Log'!$K$8:$K$200)</f>
        <v/>
      </c>
      <c r="K17" s="66">
        <f>COUNTIF('Food Log'!$B$8:$B$200,C17)</f>
        <v/>
      </c>
    </row>
    <row r="18" ht="15" customHeight="1" s="67">
      <c r="A18" s="84" t="n"/>
      <c r="B18" s="85" t="n">
        <v>12</v>
      </c>
      <c r="C18" s="132" t="n">
        <v>46307</v>
      </c>
      <c r="D18" s="142">
        <f>IFERROR(AVERAGEIF('Food Log'!$B$8:$B$200,C18,'Food Log'!$E$8:$E$200),0)</f>
        <v/>
      </c>
      <c r="E18" s="87">
        <f>SUMIF('Food Log'!$B$8:$B$200,C18,'Food Log'!$F$8:$F$200)</f>
        <v/>
      </c>
      <c r="F18" s="87">
        <f>SUMIF('Food Log'!$B$8:$B$200,C18,'Food Log'!$G$8:$G$200)</f>
        <v/>
      </c>
      <c r="G18" s="87">
        <f>SUMIF('Food Log'!$B$8:$B$200,C18,'Food Log'!$H$8:$H$200)</f>
        <v/>
      </c>
      <c r="H18" s="87">
        <f>SUMIF('Food Log'!$B$8:$B$200,C18,'Food Log'!$I$8:$I$200)</f>
        <v/>
      </c>
      <c r="I18" s="142">
        <f>IFERROR(AVERAGEIF('Food Log'!$B$8:$B$200,C18,'Food Log'!$J$8:$J$200),0)</f>
        <v/>
      </c>
      <c r="J18" s="87">
        <f>SUMIF('Food Log'!$B$8:$B$200,C18,'Food Log'!$K$8:$K$200)</f>
        <v/>
      </c>
      <c r="K18" s="66">
        <f>COUNTIF('Food Log'!$B$8:$B$200,C18)</f>
        <v/>
      </c>
    </row>
    <row r="19" ht="15" customHeight="1" s="67">
      <c r="A19" s="79" t="n"/>
      <c r="B19" s="80" t="n">
        <v>13</v>
      </c>
      <c r="C19" s="131" t="n">
        <v>46308</v>
      </c>
      <c r="D19" s="141">
        <f>IFERROR(AVERAGEIF('Food Log'!$B$8:$B$200,C19,'Food Log'!$E$8:$E$200),0)</f>
        <v/>
      </c>
      <c r="E19" s="82">
        <f>SUMIF('Food Log'!$B$8:$B$200,C19,'Food Log'!$F$8:$F$200)</f>
        <v/>
      </c>
      <c r="F19" s="82">
        <f>SUMIF('Food Log'!$B$8:$B$200,C19,'Food Log'!$G$8:$G$200)</f>
        <v/>
      </c>
      <c r="G19" s="82">
        <f>SUMIF('Food Log'!$B$8:$B$200,C19,'Food Log'!$H$8:$H$200)</f>
        <v/>
      </c>
      <c r="H19" s="82">
        <f>SUMIF('Food Log'!$B$8:$B$200,C19,'Food Log'!$I$8:$I$200)</f>
        <v/>
      </c>
      <c r="I19" s="141">
        <f>IFERROR(AVERAGEIF('Food Log'!$B$8:$B$200,C19,'Food Log'!$J$8:$J$200),0)</f>
        <v/>
      </c>
      <c r="J19" s="82">
        <f>SUMIF('Food Log'!$B$8:$B$200,C19,'Food Log'!$K$8:$K$200)</f>
        <v/>
      </c>
      <c r="K19" s="66">
        <f>COUNTIF('Food Log'!$B$8:$B$200,C19)</f>
        <v/>
      </c>
    </row>
    <row r="20" ht="15" customHeight="1" s="67">
      <c r="A20" s="84" t="n"/>
      <c r="B20" s="85" t="n">
        <v>14</v>
      </c>
      <c r="C20" s="132" t="n">
        <v>46309</v>
      </c>
      <c r="D20" s="142">
        <f>IFERROR(AVERAGEIF('Food Log'!$B$8:$B$200,C20,'Food Log'!$E$8:$E$200),0)</f>
        <v/>
      </c>
      <c r="E20" s="87">
        <f>SUMIF('Food Log'!$B$8:$B$200,C20,'Food Log'!$F$8:$F$200)</f>
        <v/>
      </c>
      <c r="F20" s="87">
        <f>SUMIF('Food Log'!$B$8:$B$200,C20,'Food Log'!$G$8:$G$200)</f>
        <v/>
      </c>
      <c r="G20" s="87">
        <f>SUMIF('Food Log'!$B$8:$B$200,C20,'Food Log'!$H$8:$H$200)</f>
        <v/>
      </c>
      <c r="H20" s="87">
        <f>SUMIF('Food Log'!$B$8:$B$200,C20,'Food Log'!$I$8:$I$200)</f>
        <v/>
      </c>
      <c r="I20" s="142">
        <f>IFERROR(AVERAGEIF('Food Log'!$B$8:$B$200,C20,'Food Log'!$J$8:$J$200),0)</f>
        <v/>
      </c>
      <c r="J20" s="87">
        <f>SUMIF('Food Log'!$B$8:$B$200,C20,'Food Log'!$K$8:$K$200)</f>
        <v/>
      </c>
      <c r="K20" s="66">
        <f>COUNTIF('Food Log'!$B$8:$B$200,C20)</f>
        <v/>
      </c>
    </row>
    <row r="21" ht="15" customHeight="1" s="67">
      <c r="A21" s="79" t="n"/>
      <c r="B21" s="80" t="n">
        <v>15</v>
      </c>
      <c r="C21" s="131" t="n">
        <v>46310</v>
      </c>
      <c r="D21" s="141">
        <f>IFERROR(AVERAGEIF('Food Log'!$B$8:$B$200,C21,'Food Log'!$E$8:$E$200),0)</f>
        <v/>
      </c>
      <c r="E21" s="82">
        <f>SUMIF('Food Log'!$B$8:$B$200,C21,'Food Log'!$F$8:$F$200)</f>
        <v/>
      </c>
      <c r="F21" s="82">
        <f>SUMIF('Food Log'!$B$8:$B$200,C21,'Food Log'!$G$8:$G$200)</f>
        <v/>
      </c>
      <c r="G21" s="82">
        <f>SUMIF('Food Log'!$B$8:$B$200,C21,'Food Log'!$H$8:$H$200)</f>
        <v/>
      </c>
      <c r="H21" s="82">
        <f>SUMIF('Food Log'!$B$8:$B$200,C21,'Food Log'!$I$8:$I$200)</f>
        <v/>
      </c>
      <c r="I21" s="141">
        <f>IFERROR(AVERAGEIF('Food Log'!$B$8:$B$200,C21,'Food Log'!$J$8:$J$200),0)</f>
        <v/>
      </c>
      <c r="J21" s="82">
        <f>SUMIF('Food Log'!$B$8:$B$200,C21,'Food Log'!$K$8:$K$200)</f>
        <v/>
      </c>
      <c r="K21" s="66">
        <f>COUNTIF('Food Log'!$B$8:$B$200,C21)</f>
        <v/>
      </c>
    </row>
    <row r="22" ht="15" customHeight="1" s="67">
      <c r="A22" s="84" t="n"/>
      <c r="B22" s="85" t="n">
        <v>16</v>
      </c>
      <c r="C22" s="132" t="n">
        <v>46311</v>
      </c>
      <c r="D22" s="142">
        <f>IFERROR(AVERAGEIF('Food Log'!$B$8:$B$200,C22,'Food Log'!$E$8:$E$200),0)</f>
        <v/>
      </c>
      <c r="E22" s="87">
        <f>SUMIF('Food Log'!$B$8:$B$200,C22,'Food Log'!$F$8:$F$200)</f>
        <v/>
      </c>
      <c r="F22" s="87">
        <f>SUMIF('Food Log'!$B$8:$B$200,C22,'Food Log'!$G$8:$G$200)</f>
        <v/>
      </c>
      <c r="G22" s="87">
        <f>SUMIF('Food Log'!$B$8:$B$200,C22,'Food Log'!$H$8:$H$200)</f>
        <v/>
      </c>
      <c r="H22" s="87">
        <f>SUMIF('Food Log'!$B$8:$B$200,C22,'Food Log'!$I$8:$I$200)</f>
        <v/>
      </c>
      <c r="I22" s="142">
        <f>IFERROR(AVERAGEIF('Food Log'!$B$8:$B$200,C22,'Food Log'!$J$8:$J$200),0)</f>
        <v/>
      </c>
      <c r="J22" s="87">
        <f>SUMIF('Food Log'!$B$8:$B$200,C22,'Food Log'!$K$8:$K$200)</f>
        <v/>
      </c>
      <c r="K22" s="66">
        <f>COUNTIF('Food Log'!$B$8:$B$200,C22)</f>
        <v/>
      </c>
    </row>
    <row r="23" ht="15" customHeight="1" s="67">
      <c r="A23" s="79" t="n"/>
      <c r="B23" s="80" t="n">
        <v>17</v>
      </c>
      <c r="C23" s="131" t="n">
        <v>46312</v>
      </c>
      <c r="D23" s="141">
        <f>IFERROR(AVERAGEIF('Food Log'!$B$8:$B$200,C23,'Food Log'!$E$8:$E$200),0)</f>
        <v/>
      </c>
      <c r="E23" s="82">
        <f>SUMIF('Food Log'!$B$8:$B$200,C23,'Food Log'!$F$8:$F$200)</f>
        <v/>
      </c>
      <c r="F23" s="82">
        <f>SUMIF('Food Log'!$B$8:$B$200,C23,'Food Log'!$G$8:$G$200)</f>
        <v/>
      </c>
      <c r="G23" s="82">
        <f>SUMIF('Food Log'!$B$8:$B$200,C23,'Food Log'!$H$8:$H$200)</f>
        <v/>
      </c>
      <c r="H23" s="82">
        <f>SUMIF('Food Log'!$B$8:$B$200,C23,'Food Log'!$I$8:$I$200)</f>
        <v/>
      </c>
      <c r="I23" s="141">
        <f>IFERROR(AVERAGEIF('Food Log'!$B$8:$B$200,C23,'Food Log'!$J$8:$J$200),0)</f>
        <v/>
      </c>
      <c r="J23" s="82">
        <f>SUMIF('Food Log'!$B$8:$B$200,C23,'Food Log'!$K$8:$K$200)</f>
        <v/>
      </c>
      <c r="K23" s="66">
        <f>COUNTIF('Food Log'!$B$8:$B$200,C23)</f>
        <v/>
      </c>
    </row>
    <row r="24" ht="15" customHeight="1" s="67">
      <c r="A24" s="84" t="n"/>
      <c r="B24" s="85" t="n">
        <v>18</v>
      </c>
      <c r="C24" s="132" t="n">
        <v>46313</v>
      </c>
      <c r="D24" s="142">
        <f>IFERROR(AVERAGEIF('Food Log'!$B$8:$B$200,C24,'Food Log'!$E$8:$E$200),0)</f>
        <v/>
      </c>
      <c r="E24" s="87">
        <f>SUMIF('Food Log'!$B$8:$B$200,C24,'Food Log'!$F$8:$F$200)</f>
        <v/>
      </c>
      <c r="F24" s="87">
        <f>SUMIF('Food Log'!$B$8:$B$200,C24,'Food Log'!$G$8:$G$200)</f>
        <v/>
      </c>
      <c r="G24" s="87">
        <f>SUMIF('Food Log'!$B$8:$B$200,C24,'Food Log'!$H$8:$H$200)</f>
        <v/>
      </c>
      <c r="H24" s="87">
        <f>SUMIF('Food Log'!$B$8:$B$200,C24,'Food Log'!$I$8:$I$200)</f>
        <v/>
      </c>
      <c r="I24" s="142">
        <f>IFERROR(AVERAGEIF('Food Log'!$B$8:$B$200,C24,'Food Log'!$J$8:$J$200),0)</f>
        <v/>
      </c>
      <c r="J24" s="87">
        <f>SUMIF('Food Log'!$B$8:$B$200,C24,'Food Log'!$K$8:$K$200)</f>
        <v/>
      </c>
      <c r="K24" s="66">
        <f>COUNTIF('Food Log'!$B$8:$B$200,C24)</f>
        <v/>
      </c>
    </row>
    <row r="25" ht="15" customHeight="1" s="67">
      <c r="A25" s="79" t="n"/>
      <c r="B25" s="80" t="n">
        <v>19</v>
      </c>
      <c r="C25" s="131" t="n">
        <v>46314</v>
      </c>
      <c r="D25" s="141">
        <f>IFERROR(AVERAGEIF('Food Log'!$B$8:$B$200,C25,'Food Log'!$E$8:$E$200),0)</f>
        <v/>
      </c>
      <c r="E25" s="82">
        <f>SUMIF('Food Log'!$B$8:$B$200,C25,'Food Log'!$F$8:$F$200)</f>
        <v/>
      </c>
      <c r="F25" s="82">
        <f>SUMIF('Food Log'!$B$8:$B$200,C25,'Food Log'!$G$8:$G$200)</f>
        <v/>
      </c>
      <c r="G25" s="82">
        <f>SUMIF('Food Log'!$B$8:$B$200,C25,'Food Log'!$H$8:$H$200)</f>
        <v/>
      </c>
      <c r="H25" s="82">
        <f>SUMIF('Food Log'!$B$8:$B$200,C25,'Food Log'!$I$8:$I$200)</f>
        <v/>
      </c>
      <c r="I25" s="141">
        <f>IFERROR(AVERAGEIF('Food Log'!$B$8:$B$200,C25,'Food Log'!$J$8:$J$200),0)</f>
        <v/>
      </c>
      <c r="J25" s="82">
        <f>SUMIF('Food Log'!$B$8:$B$200,C25,'Food Log'!$K$8:$K$200)</f>
        <v/>
      </c>
      <c r="K25" s="66">
        <f>COUNTIF('Food Log'!$B$8:$B$200,C25)</f>
        <v/>
      </c>
    </row>
    <row r="26" ht="15" customHeight="1" s="67">
      <c r="A26" s="84" t="n"/>
      <c r="B26" s="85" t="n">
        <v>20</v>
      </c>
      <c r="C26" s="132" t="n">
        <v>46315</v>
      </c>
      <c r="D26" s="142">
        <f>IFERROR(AVERAGEIF('Food Log'!$B$8:$B$200,C26,'Food Log'!$E$8:$E$200),0)</f>
        <v/>
      </c>
      <c r="E26" s="87">
        <f>SUMIF('Food Log'!$B$8:$B$200,C26,'Food Log'!$F$8:$F$200)</f>
        <v/>
      </c>
      <c r="F26" s="87">
        <f>SUMIF('Food Log'!$B$8:$B$200,C26,'Food Log'!$G$8:$G$200)</f>
        <v/>
      </c>
      <c r="G26" s="87">
        <f>SUMIF('Food Log'!$B$8:$B$200,C26,'Food Log'!$H$8:$H$200)</f>
        <v/>
      </c>
      <c r="H26" s="87">
        <f>SUMIF('Food Log'!$B$8:$B$200,C26,'Food Log'!$I$8:$I$200)</f>
        <v/>
      </c>
      <c r="I26" s="142">
        <f>IFERROR(AVERAGEIF('Food Log'!$B$8:$B$200,C26,'Food Log'!$J$8:$J$200),0)</f>
        <v/>
      </c>
      <c r="J26" s="87">
        <f>SUMIF('Food Log'!$B$8:$B$200,C26,'Food Log'!$K$8:$K$200)</f>
        <v/>
      </c>
      <c r="K26" s="66">
        <f>COUNTIF('Food Log'!$B$8:$B$200,C26)</f>
        <v/>
      </c>
    </row>
    <row r="27" ht="15" customHeight="1" s="67">
      <c r="A27" s="79" t="n"/>
      <c r="B27" s="80" t="n">
        <v>21</v>
      </c>
      <c r="C27" s="131" t="n">
        <v>46316</v>
      </c>
      <c r="D27" s="141">
        <f>IFERROR(AVERAGEIF('Food Log'!$B$8:$B$200,C27,'Food Log'!$E$8:$E$200),0)</f>
        <v/>
      </c>
      <c r="E27" s="82">
        <f>SUMIF('Food Log'!$B$8:$B$200,C27,'Food Log'!$F$8:$F$200)</f>
        <v/>
      </c>
      <c r="F27" s="82">
        <f>SUMIF('Food Log'!$B$8:$B$200,C27,'Food Log'!$G$8:$G$200)</f>
        <v/>
      </c>
      <c r="G27" s="82">
        <f>SUMIF('Food Log'!$B$8:$B$200,C27,'Food Log'!$H$8:$H$200)</f>
        <v/>
      </c>
      <c r="H27" s="82">
        <f>SUMIF('Food Log'!$B$8:$B$200,C27,'Food Log'!$I$8:$I$200)</f>
        <v/>
      </c>
      <c r="I27" s="141">
        <f>IFERROR(AVERAGEIF('Food Log'!$B$8:$B$200,C27,'Food Log'!$J$8:$J$200),0)</f>
        <v/>
      </c>
      <c r="J27" s="82">
        <f>SUMIF('Food Log'!$B$8:$B$200,C27,'Food Log'!$K$8:$K$200)</f>
        <v/>
      </c>
      <c r="K27" s="66">
        <f>COUNTIF('Food Log'!$B$8:$B$200,C27)</f>
        <v/>
      </c>
    </row>
    <row r="28" ht="15" customHeight="1" s="67">
      <c r="A28" s="84" t="n"/>
      <c r="B28" s="85" t="n">
        <v>22</v>
      </c>
      <c r="C28" s="132" t="n">
        <v>46317</v>
      </c>
      <c r="D28" s="142">
        <f>IFERROR(AVERAGEIF('Food Log'!$B$8:$B$200,C28,'Food Log'!$E$8:$E$200),0)</f>
        <v/>
      </c>
      <c r="E28" s="87">
        <f>SUMIF('Food Log'!$B$8:$B$200,C28,'Food Log'!$F$8:$F$200)</f>
        <v/>
      </c>
      <c r="F28" s="87">
        <f>SUMIF('Food Log'!$B$8:$B$200,C28,'Food Log'!$G$8:$G$200)</f>
        <v/>
      </c>
      <c r="G28" s="87">
        <f>SUMIF('Food Log'!$B$8:$B$200,C28,'Food Log'!$H$8:$H$200)</f>
        <v/>
      </c>
      <c r="H28" s="87">
        <f>SUMIF('Food Log'!$B$8:$B$200,C28,'Food Log'!$I$8:$I$200)</f>
        <v/>
      </c>
      <c r="I28" s="142">
        <f>IFERROR(AVERAGEIF('Food Log'!$B$8:$B$200,C28,'Food Log'!$J$8:$J$200),0)</f>
        <v/>
      </c>
      <c r="J28" s="87">
        <f>SUMIF('Food Log'!$B$8:$B$200,C28,'Food Log'!$K$8:$K$200)</f>
        <v/>
      </c>
      <c r="K28" s="66">
        <f>COUNTIF('Food Log'!$B$8:$B$200,C28)</f>
        <v/>
      </c>
    </row>
    <row r="29" ht="15" customHeight="1" s="67">
      <c r="A29" s="79" t="n"/>
      <c r="B29" s="80" t="n">
        <v>23</v>
      </c>
      <c r="C29" s="131" t="n">
        <v>46318</v>
      </c>
      <c r="D29" s="141">
        <f>IFERROR(AVERAGEIF('Food Log'!$B$8:$B$200,C29,'Food Log'!$E$8:$E$200),0)</f>
        <v/>
      </c>
      <c r="E29" s="82">
        <f>SUMIF('Food Log'!$B$8:$B$200,C29,'Food Log'!$F$8:$F$200)</f>
        <v/>
      </c>
      <c r="F29" s="82">
        <f>SUMIF('Food Log'!$B$8:$B$200,C29,'Food Log'!$G$8:$G$200)</f>
        <v/>
      </c>
      <c r="G29" s="82">
        <f>SUMIF('Food Log'!$B$8:$B$200,C29,'Food Log'!$H$8:$H$200)</f>
        <v/>
      </c>
      <c r="H29" s="82">
        <f>SUMIF('Food Log'!$B$8:$B$200,C29,'Food Log'!$I$8:$I$200)</f>
        <v/>
      </c>
      <c r="I29" s="141">
        <f>IFERROR(AVERAGEIF('Food Log'!$B$8:$B$200,C29,'Food Log'!$J$8:$J$200),0)</f>
        <v/>
      </c>
      <c r="J29" s="82">
        <f>SUMIF('Food Log'!$B$8:$B$200,C29,'Food Log'!$K$8:$K$200)</f>
        <v/>
      </c>
      <c r="K29" s="66">
        <f>COUNTIF('Food Log'!$B$8:$B$200,C29)</f>
        <v/>
      </c>
    </row>
    <row r="30" ht="15" customHeight="1" s="67">
      <c r="A30" s="84" t="n"/>
      <c r="B30" s="85" t="n">
        <v>24</v>
      </c>
      <c r="C30" s="132" t="n">
        <v>46319</v>
      </c>
      <c r="D30" s="142">
        <f>IFERROR(AVERAGEIF('Food Log'!$B$8:$B$200,C30,'Food Log'!$E$8:$E$200),0)</f>
        <v/>
      </c>
      <c r="E30" s="87">
        <f>SUMIF('Food Log'!$B$8:$B$200,C30,'Food Log'!$F$8:$F$200)</f>
        <v/>
      </c>
      <c r="F30" s="87">
        <f>SUMIF('Food Log'!$B$8:$B$200,C30,'Food Log'!$G$8:$G$200)</f>
        <v/>
      </c>
      <c r="G30" s="87">
        <f>SUMIF('Food Log'!$B$8:$B$200,C30,'Food Log'!$H$8:$H$200)</f>
        <v/>
      </c>
      <c r="H30" s="87">
        <f>SUMIF('Food Log'!$B$8:$B$200,C30,'Food Log'!$I$8:$I$200)</f>
        <v/>
      </c>
      <c r="I30" s="142">
        <f>IFERROR(AVERAGEIF('Food Log'!$B$8:$B$200,C30,'Food Log'!$J$8:$J$200),0)</f>
        <v/>
      </c>
      <c r="J30" s="87">
        <f>SUMIF('Food Log'!$B$8:$B$200,C30,'Food Log'!$K$8:$K$200)</f>
        <v/>
      </c>
      <c r="K30" s="66">
        <f>COUNTIF('Food Log'!$B$8:$B$200,C30)</f>
        <v/>
      </c>
    </row>
    <row r="31" ht="15" customHeight="1" s="67">
      <c r="A31" s="79" t="n"/>
      <c r="B31" s="80" t="n">
        <v>25</v>
      </c>
      <c r="C31" s="131" t="n">
        <v>46320</v>
      </c>
      <c r="D31" s="141">
        <f>IFERROR(AVERAGEIF('Food Log'!$B$8:$B$200,C31,'Food Log'!$E$8:$E$200),0)</f>
        <v/>
      </c>
      <c r="E31" s="82">
        <f>SUMIF('Food Log'!$B$8:$B$200,C31,'Food Log'!$F$8:$F$200)</f>
        <v/>
      </c>
      <c r="F31" s="82">
        <f>SUMIF('Food Log'!$B$8:$B$200,C31,'Food Log'!$G$8:$G$200)</f>
        <v/>
      </c>
      <c r="G31" s="82">
        <f>SUMIF('Food Log'!$B$8:$B$200,C31,'Food Log'!$H$8:$H$200)</f>
        <v/>
      </c>
      <c r="H31" s="82">
        <f>SUMIF('Food Log'!$B$8:$B$200,C31,'Food Log'!$I$8:$I$200)</f>
        <v/>
      </c>
      <c r="I31" s="141">
        <f>IFERROR(AVERAGEIF('Food Log'!$B$8:$B$200,C31,'Food Log'!$J$8:$J$200),0)</f>
        <v/>
      </c>
      <c r="J31" s="82">
        <f>SUMIF('Food Log'!$B$8:$B$200,C31,'Food Log'!$K$8:$K$200)</f>
        <v/>
      </c>
      <c r="K31" s="66">
        <f>COUNTIF('Food Log'!$B$8:$B$200,C31)</f>
        <v/>
      </c>
    </row>
    <row r="32" ht="15" customHeight="1" s="67">
      <c r="A32" s="84" t="n"/>
      <c r="B32" s="85" t="n">
        <v>26</v>
      </c>
      <c r="C32" s="132" t="n">
        <v>46321</v>
      </c>
      <c r="D32" s="142">
        <f>IFERROR(AVERAGEIF('Food Log'!$B$8:$B$200,C32,'Food Log'!$E$8:$E$200),0)</f>
        <v/>
      </c>
      <c r="E32" s="87">
        <f>SUMIF('Food Log'!$B$8:$B$200,C32,'Food Log'!$F$8:$F$200)</f>
        <v/>
      </c>
      <c r="F32" s="87">
        <f>SUMIF('Food Log'!$B$8:$B$200,C32,'Food Log'!$G$8:$G$200)</f>
        <v/>
      </c>
      <c r="G32" s="87">
        <f>SUMIF('Food Log'!$B$8:$B$200,C32,'Food Log'!$H$8:$H$200)</f>
        <v/>
      </c>
      <c r="H32" s="87">
        <f>SUMIF('Food Log'!$B$8:$B$200,C32,'Food Log'!$I$8:$I$200)</f>
        <v/>
      </c>
      <c r="I32" s="142">
        <f>IFERROR(AVERAGEIF('Food Log'!$B$8:$B$200,C32,'Food Log'!$J$8:$J$200),0)</f>
        <v/>
      </c>
      <c r="J32" s="87">
        <f>SUMIF('Food Log'!$B$8:$B$200,C32,'Food Log'!$K$8:$K$200)</f>
        <v/>
      </c>
      <c r="K32" s="66">
        <f>COUNTIF('Food Log'!$B$8:$B$200,C32)</f>
        <v/>
      </c>
    </row>
    <row r="33" ht="15" customHeight="1" s="67">
      <c r="A33" s="79" t="n"/>
      <c r="B33" s="80" t="n">
        <v>27</v>
      </c>
      <c r="C33" s="131" t="n">
        <v>46322</v>
      </c>
      <c r="D33" s="141">
        <f>IFERROR(AVERAGEIF('Food Log'!$B$8:$B$200,C33,'Food Log'!$E$8:$E$200),0)</f>
        <v/>
      </c>
      <c r="E33" s="82">
        <f>SUMIF('Food Log'!$B$8:$B$200,C33,'Food Log'!$F$8:$F$200)</f>
        <v/>
      </c>
      <c r="F33" s="82">
        <f>SUMIF('Food Log'!$B$8:$B$200,C33,'Food Log'!$G$8:$G$200)</f>
        <v/>
      </c>
      <c r="G33" s="82">
        <f>SUMIF('Food Log'!$B$8:$B$200,C33,'Food Log'!$H$8:$H$200)</f>
        <v/>
      </c>
      <c r="H33" s="82">
        <f>SUMIF('Food Log'!$B$8:$B$200,C33,'Food Log'!$I$8:$I$200)</f>
        <v/>
      </c>
      <c r="I33" s="141">
        <f>IFERROR(AVERAGEIF('Food Log'!$B$8:$B$200,C33,'Food Log'!$J$8:$J$200),0)</f>
        <v/>
      </c>
      <c r="J33" s="82">
        <f>SUMIF('Food Log'!$B$8:$B$200,C33,'Food Log'!$K$8:$K$200)</f>
        <v/>
      </c>
      <c r="K33" s="66">
        <f>COUNTIF('Food Log'!$B$8:$B$200,C33)</f>
        <v/>
      </c>
    </row>
    <row r="34" ht="15" customHeight="1" s="67">
      <c r="A34" s="84" t="n"/>
      <c r="B34" s="85" t="n">
        <v>28</v>
      </c>
      <c r="C34" s="132" t="n">
        <v>46323</v>
      </c>
      <c r="D34" s="142">
        <f>IFERROR(AVERAGEIF('Food Log'!$B$8:$B$200,C34,'Food Log'!$E$8:$E$200),0)</f>
        <v/>
      </c>
      <c r="E34" s="87">
        <f>SUMIF('Food Log'!$B$8:$B$200,C34,'Food Log'!$F$8:$F$200)</f>
        <v/>
      </c>
      <c r="F34" s="87">
        <f>SUMIF('Food Log'!$B$8:$B$200,C34,'Food Log'!$G$8:$G$200)</f>
        <v/>
      </c>
      <c r="G34" s="87">
        <f>SUMIF('Food Log'!$B$8:$B$200,C34,'Food Log'!$H$8:$H$200)</f>
        <v/>
      </c>
      <c r="H34" s="87">
        <f>SUMIF('Food Log'!$B$8:$B$200,C34,'Food Log'!$I$8:$I$200)</f>
        <v/>
      </c>
      <c r="I34" s="142">
        <f>IFERROR(AVERAGEIF('Food Log'!$B$8:$B$200,C34,'Food Log'!$J$8:$J$200),0)</f>
        <v/>
      </c>
      <c r="J34" s="87">
        <f>SUMIF('Food Log'!$B$8:$B$200,C34,'Food Log'!$K$8:$K$200)</f>
        <v/>
      </c>
      <c r="K34" s="66">
        <f>COUNTIF('Food Log'!$B$8:$B$200,C34)</f>
        <v/>
      </c>
    </row>
    <row r="35" ht="15" customHeight="1" s="67">
      <c r="A35" s="79" t="n"/>
      <c r="B35" s="80" t="n">
        <v>29</v>
      </c>
      <c r="C35" s="131" t="n">
        <v>46324</v>
      </c>
      <c r="D35" s="141">
        <f>IFERROR(AVERAGEIF('Food Log'!$B$8:$B$200,C35,'Food Log'!$E$8:$E$200),0)</f>
        <v/>
      </c>
      <c r="E35" s="82">
        <f>SUMIF('Food Log'!$B$8:$B$200,C35,'Food Log'!$F$8:$F$200)</f>
        <v/>
      </c>
      <c r="F35" s="82">
        <f>SUMIF('Food Log'!$B$8:$B$200,C35,'Food Log'!$G$8:$G$200)</f>
        <v/>
      </c>
      <c r="G35" s="82">
        <f>SUMIF('Food Log'!$B$8:$B$200,C35,'Food Log'!$H$8:$H$200)</f>
        <v/>
      </c>
      <c r="H35" s="82">
        <f>SUMIF('Food Log'!$B$8:$B$200,C35,'Food Log'!$I$8:$I$200)</f>
        <v/>
      </c>
      <c r="I35" s="141">
        <f>IFERROR(AVERAGEIF('Food Log'!$B$8:$B$200,C35,'Food Log'!$J$8:$J$200),0)</f>
        <v/>
      </c>
      <c r="J35" s="82">
        <f>SUMIF('Food Log'!$B$8:$B$200,C35,'Food Log'!$K$8:$K$200)</f>
        <v/>
      </c>
      <c r="K35" s="66">
        <f>COUNTIF('Food Log'!$B$8:$B$200,C35)</f>
        <v/>
      </c>
    </row>
    <row r="36" ht="15" customHeight="1" s="67">
      <c r="A36" s="84" t="n"/>
      <c r="B36" s="85" t="n">
        <v>30</v>
      </c>
      <c r="C36" s="132" t="n">
        <v>46325</v>
      </c>
      <c r="D36" s="142">
        <f>IFERROR(AVERAGEIF('Food Log'!$B$8:$B$200,C36,'Food Log'!$E$8:$E$200),0)</f>
        <v/>
      </c>
      <c r="E36" s="87">
        <f>SUMIF('Food Log'!$B$8:$B$200,C36,'Food Log'!$F$8:$F$200)</f>
        <v/>
      </c>
      <c r="F36" s="87">
        <f>SUMIF('Food Log'!$B$8:$B$200,C36,'Food Log'!$G$8:$G$200)</f>
        <v/>
      </c>
      <c r="G36" s="87">
        <f>SUMIF('Food Log'!$B$8:$B$200,C36,'Food Log'!$H$8:$H$200)</f>
        <v/>
      </c>
      <c r="H36" s="87">
        <f>SUMIF('Food Log'!$B$8:$B$200,C36,'Food Log'!$I$8:$I$200)</f>
        <v/>
      </c>
      <c r="I36" s="142">
        <f>IFERROR(AVERAGEIF('Food Log'!$B$8:$B$200,C36,'Food Log'!$J$8:$J$200),0)</f>
        <v/>
      </c>
      <c r="J36" s="87">
        <f>SUMIF('Food Log'!$B$8:$B$200,C36,'Food Log'!$K$8:$K$200)</f>
        <v/>
      </c>
      <c r="K36" s="66">
        <f>COUNTIF('Food Log'!$B$8:$B$200,C36)</f>
        <v/>
      </c>
    </row>
    <row r="37" ht="15" customHeight="1" s="67">
      <c r="A37" s="79" t="n"/>
      <c r="B37" s="80" t="n">
        <v>31</v>
      </c>
      <c r="C37" s="131" t="n">
        <v>46326</v>
      </c>
      <c r="D37" s="141">
        <f>IFERROR(AVERAGEIF('Food Log'!$B$8:$B$200,C37,'Food Log'!$E$8:$E$200),0)</f>
        <v/>
      </c>
      <c r="E37" s="82">
        <f>SUMIF('Food Log'!$B$8:$B$200,C37,'Food Log'!$F$8:$F$200)</f>
        <v/>
      </c>
      <c r="F37" s="82">
        <f>SUMIF('Food Log'!$B$8:$B$200,C37,'Food Log'!$G$8:$G$200)</f>
        <v/>
      </c>
      <c r="G37" s="82">
        <f>SUMIF('Food Log'!$B$8:$B$200,C37,'Food Log'!$H$8:$H$200)</f>
        <v/>
      </c>
      <c r="H37" s="82">
        <f>SUMIF('Food Log'!$B$8:$B$200,C37,'Food Log'!$I$8:$I$200)</f>
        <v/>
      </c>
      <c r="I37" s="141">
        <f>IFERROR(AVERAGEIF('Food Log'!$B$8:$B$200,C37,'Food Log'!$J$8:$J$200),0)</f>
        <v/>
      </c>
      <c r="J37" s="82">
        <f>SUMIF('Food Log'!$B$8:$B$200,C37,'Food Log'!$K$8:$K$200)</f>
        <v/>
      </c>
      <c r="K37" s="66">
        <f>COUNTIF('Food Log'!$B$8:$B$200,C37)</f>
        <v/>
      </c>
    </row>
    <row r="40" ht="15" customHeight="1" s="67">
      <c r="B40" s="76" t="inlineStr">
        <is>
          <t>Daily Exercise Summary</t>
        </is>
      </c>
    </row>
    <row r="41" ht="39.55" customHeight="1" s="67">
      <c r="A41" s="100" t="n"/>
      <c r="B41" s="100" t="inlineStr">
        <is>
          <t>Date</t>
        </is>
      </c>
      <c r="C41" s="100" t="inlineStr">
        <is>
          <t>Total Cal
Burned</t>
        </is>
      </c>
      <c r="D41" s="100" t="inlineStr">
        <is>
          <t>Total
Duration (min)</t>
        </is>
      </c>
      <c r="E41" s="100" t="inlineStr">
        <is>
          <t>Total
Steps</t>
        </is>
      </c>
      <c r="F41" s="100" t="inlineStr">
        <is>
          <t>Sessions</t>
        </is>
      </c>
    </row>
    <row r="42" ht="15" customHeight="1" s="67">
      <c r="A42" s="79" t="n"/>
      <c r="B42" s="80" t="n">
        <v>1</v>
      </c>
      <c r="C42" s="131" t="n">
        <v>46296</v>
      </c>
      <c r="D42" s="80">
        <f>SUMIF('Exercise Log'!$B$6:$B$100,C42,'Exercise Log'!$F$6:$F$100)</f>
        <v/>
      </c>
      <c r="E42" s="80">
        <f>SUMIF('Exercise Log'!$B$6:$B$100,C42,'Exercise Log'!$D$6:$D$100)</f>
        <v/>
      </c>
      <c r="F42" s="80">
        <f>SUMIF('Exercise Log'!$B$6:$B$100,C42,'Exercise Log'!$G$6:$G$100)</f>
        <v/>
      </c>
      <c r="G42" s="66">
        <f>COUNTIF('Exercise Log'!$B$6:$B$100,C42)</f>
        <v/>
      </c>
    </row>
    <row r="43" ht="15" customHeight="1" s="67">
      <c r="A43" s="84" t="n"/>
      <c r="B43" s="85" t="n">
        <v>2</v>
      </c>
      <c r="C43" s="132" t="n">
        <v>46297</v>
      </c>
      <c r="D43" s="85">
        <f>SUMIF('Exercise Log'!$B$6:$B$100,C43,'Exercise Log'!$F$6:$F$100)</f>
        <v/>
      </c>
      <c r="E43" s="85">
        <f>SUMIF('Exercise Log'!$B$6:$B$100,C43,'Exercise Log'!$D$6:$D$100)</f>
        <v/>
      </c>
      <c r="F43" s="85">
        <f>SUMIF('Exercise Log'!$B$6:$B$100,C43,'Exercise Log'!$G$6:$G$100)</f>
        <v/>
      </c>
      <c r="G43" s="66">
        <f>COUNTIF('Exercise Log'!$B$6:$B$100,C43)</f>
        <v/>
      </c>
    </row>
    <row r="44" ht="15" customHeight="1" s="67">
      <c r="A44" s="79" t="n"/>
      <c r="B44" s="80" t="n">
        <v>3</v>
      </c>
      <c r="C44" s="131" t="n">
        <v>46298</v>
      </c>
      <c r="D44" s="80">
        <f>SUMIF('Exercise Log'!$B$6:$B$100,C44,'Exercise Log'!$F$6:$F$100)</f>
        <v/>
      </c>
      <c r="E44" s="80">
        <f>SUMIF('Exercise Log'!$B$6:$B$100,C44,'Exercise Log'!$D$6:$D$100)</f>
        <v/>
      </c>
      <c r="F44" s="80">
        <f>SUMIF('Exercise Log'!$B$6:$B$100,C44,'Exercise Log'!$G$6:$G$100)</f>
        <v/>
      </c>
      <c r="G44" s="66">
        <f>COUNTIF('Exercise Log'!$B$6:$B$100,C44)</f>
        <v/>
      </c>
    </row>
    <row r="45" ht="15" customHeight="1" s="67">
      <c r="A45" s="84" t="n"/>
      <c r="B45" s="85" t="n">
        <v>4</v>
      </c>
      <c r="C45" s="132" t="n">
        <v>46299</v>
      </c>
      <c r="D45" s="85">
        <f>SUMIF('Exercise Log'!$B$6:$B$100,C45,'Exercise Log'!$F$6:$F$100)</f>
        <v/>
      </c>
      <c r="E45" s="85">
        <f>SUMIF('Exercise Log'!$B$6:$B$100,C45,'Exercise Log'!$D$6:$D$100)</f>
        <v/>
      </c>
      <c r="F45" s="85">
        <f>SUMIF('Exercise Log'!$B$6:$B$100,C45,'Exercise Log'!$G$6:$G$100)</f>
        <v/>
      </c>
      <c r="G45" s="66">
        <f>COUNTIF('Exercise Log'!$B$6:$B$100,C45)</f>
        <v/>
      </c>
    </row>
    <row r="46" ht="15" customHeight="1" s="67">
      <c r="A46" s="79" t="n"/>
      <c r="B46" s="80" t="n">
        <v>5</v>
      </c>
      <c r="C46" s="131" t="n">
        <v>46300</v>
      </c>
      <c r="D46" s="80">
        <f>SUMIF('Exercise Log'!$B$6:$B$100,C46,'Exercise Log'!$F$6:$F$100)</f>
        <v/>
      </c>
      <c r="E46" s="80">
        <f>SUMIF('Exercise Log'!$B$6:$B$100,C46,'Exercise Log'!$D$6:$D$100)</f>
        <v/>
      </c>
      <c r="F46" s="80">
        <f>SUMIF('Exercise Log'!$B$6:$B$100,C46,'Exercise Log'!$G$6:$G$100)</f>
        <v/>
      </c>
      <c r="G46" s="66">
        <f>COUNTIF('Exercise Log'!$B$6:$B$100,C46)</f>
        <v/>
      </c>
    </row>
    <row r="47" ht="15" customHeight="1" s="67">
      <c r="A47" s="84" t="n"/>
      <c r="B47" s="85" t="n">
        <v>6</v>
      </c>
      <c r="C47" s="132" t="n">
        <v>46301</v>
      </c>
      <c r="D47" s="85">
        <f>SUMIF('Exercise Log'!$B$6:$B$100,C47,'Exercise Log'!$F$6:$F$100)</f>
        <v/>
      </c>
      <c r="E47" s="85">
        <f>SUMIF('Exercise Log'!$B$6:$B$100,C47,'Exercise Log'!$D$6:$D$100)</f>
        <v/>
      </c>
      <c r="F47" s="85">
        <f>SUMIF('Exercise Log'!$B$6:$B$100,C47,'Exercise Log'!$G$6:$G$100)</f>
        <v/>
      </c>
      <c r="G47" s="66">
        <f>COUNTIF('Exercise Log'!$B$6:$B$100,C47)</f>
        <v/>
      </c>
    </row>
    <row r="48" ht="15" customHeight="1" s="67">
      <c r="A48" s="79" t="n"/>
      <c r="B48" s="80" t="n">
        <v>7</v>
      </c>
      <c r="C48" s="131" t="n">
        <v>46302</v>
      </c>
      <c r="D48" s="80">
        <f>SUMIF('Exercise Log'!$B$6:$B$100,C48,'Exercise Log'!$F$6:$F$100)</f>
        <v/>
      </c>
      <c r="E48" s="80">
        <f>SUMIF('Exercise Log'!$B$6:$B$100,C48,'Exercise Log'!$D$6:$D$100)</f>
        <v/>
      </c>
      <c r="F48" s="80">
        <f>SUMIF('Exercise Log'!$B$6:$B$100,C48,'Exercise Log'!$G$6:$G$100)</f>
        <v/>
      </c>
      <c r="G48" s="66">
        <f>COUNTIF('Exercise Log'!$B$6:$B$100,C48)</f>
        <v/>
      </c>
    </row>
    <row r="49" ht="15" customHeight="1" s="67">
      <c r="A49" s="84" t="n"/>
      <c r="B49" s="85" t="n">
        <v>8</v>
      </c>
      <c r="C49" s="132" t="n">
        <v>46303</v>
      </c>
      <c r="D49" s="85">
        <f>SUMIF('Exercise Log'!$B$6:$B$100,C49,'Exercise Log'!$F$6:$F$100)</f>
        <v/>
      </c>
      <c r="E49" s="85">
        <f>SUMIF('Exercise Log'!$B$6:$B$100,C49,'Exercise Log'!$D$6:$D$100)</f>
        <v/>
      </c>
      <c r="F49" s="85">
        <f>SUMIF('Exercise Log'!$B$6:$B$100,C49,'Exercise Log'!$G$6:$G$100)</f>
        <v/>
      </c>
      <c r="G49" s="66">
        <f>COUNTIF('Exercise Log'!$B$6:$B$100,C49)</f>
        <v/>
      </c>
    </row>
    <row r="50" ht="15" customHeight="1" s="67">
      <c r="A50" s="79" t="n"/>
      <c r="B50" s="80" t="n">
        <v>9</v>
      </c>
      <c r="C50" s="131" t="n">
        <v>46304</v>
      </c>
      <c r="D50" s="80">
        <f>SUMIF('Exercise Log'!$B$6:$B$100,C50,'Exercise Log'!$F$6:$F$100)</f>
        <v/>
      </c>
      <c r="E50" s="80">
        <f>SUMIF('Exercise Log'!$B$6:$B$100,C50,'Exercise Log'!$D$6:$D$100)</f>
        <v/>
      </c>
      <c r="F50" s="80">
        <f>SUMIF('Exercise Log'!$B$6:$B$100,C50,'Exercise Log'!$G$6:$G$100)</f>
        <v/>
      </c>
      <c r="G50" s="66">
        <f>COUNTIF('Exercise Log'!$B$6:$B$100,C50)</f>
        <v/>
      </c>
    </row>
    <row r="51" ht="15" customHeight="1" s="67">
      <c r="A51" s="84" t="n"/>
      <c r="B51" s="85" t="n">
        <v>10</v>
      </c>
      <c r="C51" s="132" t="n">
        <v>46305</v>
      </c>
      <c r="D51" s="85">
        <f>SUMIF('Exercise Log'!$B$6:$B$100,C51,'Exercise Log'!$F$6:$F$100)</f>
        <v/>
      </c>
      <c r="E51" s="85">
        <f>SUMIF('Exercise Log'!$B$6:$B$100,C51,'Exercise Log'!$D$6:$D$100)</f>
        <v/>
      </c>
      <c r="F51" s="85">
        <f>SUMIF('Exercise Log'!$B$6:$B$100,C51,'Exercise Log'!$G$6:$G$100)</f>
        <v/>
      </c>
      <c r="G51" s="66">
        <f>COUNTIF('Exercise Log'!$B$6:$B$100,C51)</f>
        <v/>
      </c>
    </row>
    <row r="52" ht="15" customHeight="1" s="67">
      <c r="A52" s="79" t="n"/>
      <c r="B52" s="80" t="n">
        <v>11</v>
      </c>
      <c r="C52" s="131" t="n">
        <v>46306</v>
      </c>
      <c r="D52" s="80">
        <f>SUMIF('Exercise Log'!$B$6:$B$100,C52,'Exercise Log'!$F$6:$F$100)</f>
        <v/>
      </c>
      <c r="E52" s="80">
        <f>SUMIF('Exercise Log'!$B$6:$B$100,C52,'Exercise Log'!$D$6:$D$100)</f>
        <v/>
      </c>
      <c r="F52" s="80">
        <f>SUMIF('Exercise Log'!$B$6:$B$100,C52,'Exercise Log'!$G$6:$G$100)</f>
        <v/>
      </c>
      <c r="G52" s="66">
        <f>COUNTIF('Exercise Log'!$B$6:$B$100,C52)</f>
        <v/>
      </c>
    </row>
    <row r="53" ht="15" customHeight="1" s="67">
      <c r="A53" s="84" t="n"/>
      <c r="B53" s="85" t="n">
        <v>12</v>
      </c>
      <c r="C53" s="132" t="n">
        <v>46307</v>
      </c>
      <c r="D53" s="85">
        <f>SUMIF('Exercise Log'!$B$6:$B$100,C53,'Exercise Log'!$F$6:$F$100)</f>
        <v/>
      </c>
      <c r="E53" s="85">
        <f>SUMIF('Exercise Log'!$B$6:$B$100,C53,'Exercise Log'!$D$6:$D$100)</f>
        <v/>
      </c>
      <c r="F53" s="85">
        <f>SUMIF('Exercise Log'!$B$6:$B$100,C53,'Exercise Log'!$G$6:$G$100)</f>
        <v/>
      </c>
      <c r="G53" s="66">
        <f>COUNTIF('Exercise Log'!$B$6:$B$100,C53)</f>
        <v/>
      </c>
    </row>
    <row r="54" ht="15" customHeight="1" s="67">
      <c r="A54" s="79" t="n"/>
      <c r="B54" s="80" t="n">
        <v>13</v>
      </c>
      <c r="C54" s="131" t="n">
        <v>46308</v>
      </c>
      <c r="D54" s="80">
        <f>SUMIF('Exercise Log'!$B$6:$B$100,C54,'Exercise Log'!$F$6:$F$100)</f>
        <v/>
      </c>
      <c r="E54" s="80">
        <f>SUMIF('Exercise Log'!$B$6:$B$100,C54,'Exercise Log'!$D$6:$D$100)</f>
        <v/>
      </c>
      <c r="F54" s="80">
        <f>SUMIF('Exercise Log'!$B$6:$B$100,C54,'Exercise Log'!$G$6:$G$100)</f>
        <v/>
      </c>
      <c r="G54" s="66">
        <f>COUNTIF('Exercise Log'!$B$6:$B$100,C54)</f>
        <v/>
      </c>
    </row>
    <row r="55" ht="15" customHeight="1" s="67">
      <c r="A55" s="84" t="n"/>
      <c r="B55" s="85" t="n">
        <v>14</v>
      </c>
      <c r="C55" s="132" t="n">
        <v>46309</v>
      </c>
      <c r="D55" s="85">
        <f>SUMIF('Exercise Log'!$B$6:$B$100,C55,'Exercise Log'!$F$6:$F$100)</f>
        <v/>
      </c>
      <c r="E55" s="85">
        <f>SUMIF('Exercise Log'!$B$6:$B$100,C55,'Exercise Log'!$D$6:$D$100)</f>
        <v/>
      </c>
      <c r="F55" s="85">
        <f>SUMIF('Exercise Log'!$B$6:$B$100,C55,'Exercise Log'!$G$6:$G$100)</f>
        <v/>
      </c>
      <c r="G55" s="66">
        <f>COUNTIF('Exercise Log'!$B$6:$B$100,C55)</f>
        <v/>
      </c>
    </row>
    <row r="56" ht="15" customHeight="1" s="67">
      <c r="A56" s="79" t="n"/>
      <c r="B56" s="80" t="n">
        <v>15</v>
      </c>
      <c r="C56" s="131" t="n">
        <v>46310</v>
      </c>
      <c r="D56" s="80">
        <f>SUMIF('Exercise Log'!$B$6:$B$100,C56,'Exercise Log'!$F$6:$F$100)</f>
        <v/>
      </c>
      <c r="E56" s="80">
        <f>SUMIF('Exercise Log'!$B$6:$B$100,C56,'Exercise Log'!$D$6:$D$100)</f>
        <v/>
      </c>
      <c r="F56" s="80">
        <f>SUMIF('Exercise Log'!$B$6:$B$100,C56,'Exercise Log'!$G$6:$G$100)</f>
        <v/>
      </c>
      <c r="G56" s="66">
        <f>COUNTIF('Exercise Log'!$B$6:$B$100,C56)</f>
        <v/>
      </c>
    </row>
    <row r="57" ht="15" customHeight="1" s="67">
      <c r="A57" s="84" t="n"/>
      <c r="B57" s="85" t="n">
        <v>16</v>
      </c>
      <c r="C57" s="132" t="n">
        <v>46311</v>
      </c>
      <c r="D57" s="85">
        <f>SUMIF('Exercise Log'!$B$6:$B$100,C57,'Exercise Log'!$F$6:$F$100)</f>
        <v/>
      </c>
      <c r="E57" s="85">
        <f>SUMIF('Exercise Log'!$B$6:$B$100,C57,'Exercise Log'!$D$6:$D$100)</f>
        <v/>
      </c>
      <c r="F57" s="85">
        <f>SUMIF('Exercise Log'!$B$6:$B$100,C57,'Exercise Log'!$G$6:$G$100)</f>
        <v/>
      </c>
      <c r="G57" s="66">
        <f>COUNTIF('Exercise Log'!$B$6:$B$100,C57)</f>
        <v/>
      </c>
    </row>
    <row r="58" ht="15" customHeight="1" s="67">
      <c r="A58" s="79" t="n"/>
      <c r="B58" s="80" t="n">
        <v>17</v>
      </c>
      <c r="C58" s="131" t="n">
        <v>46312</v>
      </c>
      <c r="D58" s="80">
        <f>SUMIF('Exercise Log'!$B$6:$B$100,C58,'Exercise Log'!$F$6:$F$100)</f>
        <v/>
      </c>
      <c r="E58" s="80">
        <f>SUMIF('Exercise Log'!$B$6:$B$100,C58,'Exercise Log'!$D$6:$D$100)</f>
        <v/>
      </c>
      <c r="F58" s="80">
        <f>SUMIF('Exercise Log'!$B$6:$B$100,C58,'Exercise Log'!$G$6:$G$100)</f>
        <v/>
      </c>
      <c r="G58" s="66">
        <f>COUNTIF('Exercise Log'!$B$6:$B$100,C58)</f>
        <v/>
      </c>
    </row>
    <row r="59" ht="15" customHeight="1" s="67">
      <c r="A59" s="84" t="n"/>
      <c r="B59" s="85" t="n">
        <v>18</v>
      </c>
      <c r="C59" s="132" t="n">
        <v>46313</v>
      </c>
      <c r="D59" s="85">
        <f>SUMIF('Exercise Log'!$B$6:$B$100,C59,'Exercise Log'!$F$6:$F$100)</f>
        <v/>
      </c>
      <c r="E59" s="85">
        <f>SUMIF('Exercise Log'!$B$6:$B$100,C59,'Exercise Log'!$D$6:$D$100)</f>
        <v/>
      </c>
      <c r="F59" s="85">
        <f>SUMIF('Exercise Log'!$B$6:$B$100,C59,'Exercise Log'!$G$6:$G$100)</f>
        <v/>
      </c>
      <c r="G59" s="66">
        <f>COUNTIF('Exercise Log'!$B$6:$B$100,C59)</f>
        <v/>
      </c>
    </row>
    <row r="60" ht="15" customHeight="1" s="67">
      <c r="A60" s="79" t="n"/>
      <c r="B60" s="80" t="n">
        <v>19</v>
      </c>
      <c r="C60" s="131" t="n">
        <v>46314</v>
      </c>
      <c r="D60" s="80">
        <f>SUMIF('Exercise Log'!$B$6:$B$100,C60,'Exercise Log'!$F$6:$F$100)</f>
        <v/>
      </c>
      <c r="E60" s="80">
        <f>SUMIF('Exercise Log'!$B$6:$B$100,C60,'Exercise Log'!$D$6:$D$100)</f>
        <v/>
      </c>
      <c r="F60" s="80">
        <f>SUMIF('Exercise Log'!$B$6:$B$100,C60,'Exercise Log'!$G$6:$G$100)</f>
        <v/>
      </c>
      <c r="G60" s="66">
        <f>COUNTIF('Exercise Log'!$B$6:$B$100,C60)</f>
        <v/>
      </c>
    </row>
    <row r="61" ht="15" customHeight="1" s="67">
      <c r="A61" s="84" t="n"/>
      <c r="B61" s="85" t="n">
        <v>20</v>
      </c>
      <c r="C61" s="132" t="n">
        <v>46315</v>
      </c>
      <c r="D61" s="85">
        <f>SUMIF('Exercise Log'!$B$6:$B$100,C61,'Exercise Log'!$F$6:$F$100)</f>
        <v/>
      </c>
      <c r="E61" s="85">
        <f>SUMIF('Exercise Log'!$B$6:$B$100,C61,'Exercise Log'!$D$6:$D$100)</f>
        <v/>
      </c>
      <c r="F61" s="85">
        <f>SUMIF('Exercise Log'!$B$6:$B$100,C61,'Exercise Log'!$G$6:$G$100)</f>
        <v/>
      </c>
      <c r="G61" s="66">
        <f>COUNTIF('Exercise Log'!$B$6:$B$100,C61)</f>
        <v/>
      </c>
    </row>
    <row r="62" ht="15" customHeight="1" s="67">
      <c r="A62" s="79" t="n"/>
      <c r="B62" s="80" t="n">
        <v>21</v>
      </c>
      <c r="C62" s="131" t="n">
        <v>46316</v>
      </c>
      <c r="D62" s="80">
        <f>SUMIF('Exercise Log'!$B$6:$B$100,C62,'Exercise Log'!$F$6:$F$100)</f>
        <v/>
      </c>
      <c r="E62" s="80">
        <f>SUMIF('Exercise Log'!$B$6:$B$100,C62,'Exercise Log'!$D$6:$D$100)</f>
        <v/>
      </c>
      <c r="F62" s="80">
        <f>SUMIF('Exercise Log'!$B$6:$B$100,C62,'Exercise Log'!$G$6:$G$100)</f>
        <v/>
      </c>
      <c r="G62" s="66">
        <f>COUNTIF('Exercise Log'!$B$6:$B$100,C62)</f>
        <v/>
      </c>
    </row>
    <row r="63" ht="15" customHeight="1" s="67">
      <c r="A63" s="84" t="n"/>
      <c r="B63" s="85" t="n">
        <v>22</v>
      </c>
      <c r="C63" s="132" t="n">
        <v>46317</v>
      </c>
      <c r="D63" s="85">
        <f>SUMIF('Exercise Log'!$B$6:$B$100,C63,'Exercise Log'!$F$6:$F$100)</f>
        <v/>
      </c>
      <c r="E63" s="85">
        <f>SUMIF('Exercise Log'!$B$6:$B$100,C63,'Exercise Log'!$D$6:$D$100)</f>
        <v/>
      </c>
      <c r="F63" s="85">
        <f>SUMIF('Exercise Log'!$B$6:$B$100,C63,'Exercise Log'!$G$6:$G$100)</f>
        <v/>
      </c>
      <c r="G63" s="66">
        <f>COUNTIF('Exercise Log'!$B$6:$B$100,C63)</f>
        <v/>
      </c>
    </row>
    <row r="64" ht="15" customHeight="1" s="67">
      <c r="A64" s="79" t="n"/>
      <c r="B64" s="80" t="n">
        <v>23</v>
      </c>
      <c r="C64" s="131" t="n">
        <v>46318</v>
      </c>
      <c r="D64" s="80">
        <f>SUMIF('Exercise Log'!$B$6:$B$100,C64,'Exercise Log'!$F$6:$F$100)</f>
        <v/>
      </c>
      <c r="E64" s="80">
        <f>SUMIF('Exercise Log'!$B$6:$B$100,C64,'Exercise Log'!$D$6:$D$100)</f>
        <v/>
      </c>
      <c r="F64" s="80">
        <f>SUMIF('Exercise Log'!$B$6:$B$100,C64,'Exercise Log'!$G$6:$G$100)</f>
        <v/>
      </c>
      <c r="G64" s="66">
        <f>COUNTIF('Exercise Log'!$B$6:$B$100,C64)</f>
        <v/>
      </c>
    </row>
    <row r="65" ht="15" customHeight="1" s="67">
      <c r="A65" s="84" t="n"/>
      <c r="B65" s="85" t="n">
        <v>24</v>
      </c>
      <c r="C65" s="132" t="n">
        <v>46319</v>
      </c>
      <c r="D65" s="85">
        <f>SUMIF('Exercise Log'!$B$6:$B$100,C65,'Exercise Log'!$F$6:$F$100)</f>
        <v/>
      </c>
      <c r="E65" s="85">
        <f>SUMIF('Exercise Log'!$B$6:$B$100,C65,'Exercise Log'!$D$6:$D$100)</f>
        <v/>
      </c>
      <c r="F65" s="85">
        <f>SUMIF('Exercise Log'!$B$6:$B$100,C65,'Exercise Log'!$G$6:$G$100)</f>
        <v/>
      </c>
      <c r="G65" s="66">
        <f>COUNTIF('Exercise Log'!$B$6:$B$100,C65)</f>
        <v/>
      </c>
    </row>
    <row r="66" ht="15" customHeight="1" s="67">
      <c r="A66" s="79" t="n"/>
      <c r="B66" s="80" t="n">
        <v>25</v>
      </c>
      <c r="C66" s="131" t="n">
        <v>46320</v>
      </c>
      <c r="D66" s="80">
        <f>SUMIF('Exercise Log'!$B$6:$B$100,C66,'Exercise Log'!$F$6:$F$100)</f>
        <v/>
      </c>
      <c r="E66" s="80">
        <f>SUMIF('Exercise Log'!$B$6:$B$100,C66,'Exercise Log'!$D$6:$D$100)</f>
        <v/>
      </c>
      <c r="F66" s="80">
        <f>SUMIF('Exercise Log'!$B$6:$B$100,C66,'Exercise Log'!$G$6:$G$100)</f>
        <v/>
      </c>
      <c r="G66" s="66">
        <f>COUNTIF('Exercise Log'!$B$6:$B$100,C66)</f>
        <v/>
      </c>
    </row>
    <row r="67" ht="15" customHeight="1" s="67">
      <c r="A67" s="84" t="n"/>
      <c r="B67" s="85" t="n">
        <v>26</v>
      </c>
      <c r="C67" s="132" t="n">
        <v>46321</v>
      </c>
      <c r="D67" s="85">
        <f>SUMIF('Exercise Log'!$B$6:$B$100,C67,'Exercise Log'!$F$6:$F$100)</f>
        <v/>
      </c>
      <c r="E67" s="85">
        <f>SUMIF('Exercise Log'!$B$6:$B$100,C67,'Exercise Log'!$D$6:$D$100)</f>
        <v/>
      </c>
      <c r="F67" s="85">
        <f>SUMIF('Exercise Log'!$B$6:$B$100,C67,'Exercise Log'!$G$6:$G$100)</f>
        <v/>
      </c>
      <c r="G67" s="66">
        <f>COUNTIF('Exercise Log'!$B$6:$B$100,C67)</f>
        <v/>
      </c>
    </row>
    <row r="68" ht="15" customHeight="1" s="67">
      <c r="A68" s="79" t="n"/>
      <c r="B68" s="80" t="n">
        <v>27</v>
      </c>
      <c r="C68" s="131" t="n">
        <v>46322</v>
      </c>
      <c r="D68" s="80">
        <f>SUMIF('Exercise Log'!$B$6:$B$100,C68,'Exercise Log'!$F$6:$F$100)</f>
        <v/>
      </c>
      <c r="E68" s="80">
        <f>SUMIF('Exercise Log'!$B$6:$B$100,C68,'Exercise Log'!$D$6:$D$100)</f>
        <v/>
      </c>
      <c r="F68" s="80">
        <f>SUMIF('Exercise Log'!$B$6:$B$100,C68,'Exercise Log'!$G$6:$G$100)</f>
        <v/>
      </c>
      <c r="G68" s="66">
        <f>COUNTIF('Exercise Log'!$B$6:$B$100,C68)</f>
        <v/>
      </c>
    </row>
    <row r="69" ht="15" customHeight="1" s="67">
      <c r="A69" s="84" t="n"/>
      <c r="B69" s="85" t="n">
        <v>28</v>
      </c>
      <c r="C69" s="132" t="n">
        <v>46323</v>
      </c>
      <c r="D69" s="85">
        <f>SUMIF('Exercise Log'!$B$6:$B$100,C69,'Exercise Log'!$F$6:$F$100)</f>
        <v/>
      </c>
      <c r="E69" s="85">
        <f>SUMIF('Exercise Log'!$B$6:$B$100,C69,'Exercise Log'!$D$6:$D$100)</f>
        <v/>
      </c>
      <c r="F69" s="85">
        <f>SUMIF('Exercise Log'!$B$6:$B$100,C69,'Exercise Log'!$G$6:$G$100)</f>
        <v/>
      </c>
      <c r="G69" s="66">
        <f>COUNTIF('Exercise Log'!$B$6:$B$100,C69)</f>
        <v/>
      </c>
    </row>
    <row r="70" ht="15" customHeight="1" s="67">
      <c r="A70" s="79" t="n"/>
      <c r="B70" s="80" t="n">
        <v>29</v>
      </c>
      <c r="C70" s="131" t="n">
        <v>46324</v>
      </c>
      <c r="D70" s="80">
        <f>SUMIF('Exercise Log'!$B$6:$B$100,C70,'Exercise Log'!$F$6:$F$100)</f>
        <v/>
      </c>
      <c r="E70" s="80">
        <f>SUMIF('Exercise Log'!$B$6:$B$100,C70,'Exercise Log'!$D$6:$D$100)</f>
        <v/>
      </c>
      <c r="F70" s="80">
        <f>SUMIF('Exercise Log'!$B$6:$B$100,C70,'Exercise Log'!$G$6:$G$100)</f>
        <v/>
      </c>
      <c r="G70" s="66">
        <f>COUNTIF('Exercise Log'!$B$6:$B$100,C70)</f>
        <v/>
      </c>
    </row>
    <row r="71" ht="15" customHeight="1" s="67">
      <c r="A71" s="84" t="n"/>
      <c r="B71" s="85" t="n">
        <v>30</v>
      </c>
      <c r="C71" s="132" t="n">
        <v>46325</v>
      </c>
      <c r="D71" s="85">
        <f>SUMIF('Exercise Log'!$B$6:$B$100,C71,'Exercise Log'!$F$6:$F$100)</f>
        <v/>
      </c>
      <c r="E71" s="85">
        <f>SUMIF('Exercise Log'!$B$6:$B$100,C71,'Exercise Log'!$D$6:$D$100)</f>
        <v/>
      </c>
      <c r="F71" s="85">
        <f>SUMIF('Exercise Log'!$B$6:$B$100,C71,'Exercise Log'!$G$6:$G$100)</f>
        <v/>
      </c>
      <c r="G71" s="66">
        <f>COUNTIF('Exercise Log'!$B$6:$B$100,C71)</f>
        <v/>
      </c>
    </row>
    <row r="72" ht="15" customHeight="1" s="67">
      <c r="A72" s="79" t="n"/>
      <c r="B72" s="80" t="n">
        <v>31</v>
      </c>
      <c r="C72" s="131" t="n">
        <v>46326</v>
      </c>
      <c r="D72" s="80">
        <f>SUMIF('Exercise Log'!$B$6:$B$100,C72,'Exercise Log'!$F$6:$F$100)</f>
        <v/>
      </c>
      <c r="E72" s="80">
        <f>SUMIF('Exercise Log'!$B$6:$B$100,C72,'Exercise Log'!$D$6:$D$100)</f>
        <v/>
      </c>
      <c r="F72" s="80">
        <f>SUMIF('Exercise Log'!$B$6:$B$100,C72,'Exercise Log'!$G$6:$G$100)</f>
        <v/>
      </c>
      <c r="G72" s="66">
        <f>COUNTIF('Exercise Log'!$B$6:$B$100,C72)</f>
        <v/>
      </c>
    </row>
    <row r="75" ht="15" customHeight="1" s="67">
      <c r="B75" s="76" t="inlineStr">
        <is>
          <t>Nutrition vs Ideal (Monthly Avg)</t>
        </is>
      </c>
    </row>
    <row r="76" ht="39.55" customHeight="1" s="67">
      <c r="A76" s="100" t="n"/>
      <c r="B76" s="100" t="inlineStr">
        <is>
          <t>Nutrient</t>
        </is>
      </c>
      <c r="C76" s="100" t="inlineStr">
        <is>
          <t>Your Avg
(per day)</t>
        </is>
      </c>
      <c r="D76" s="100" t="inlineStr">
        <is>
          <t>Ideal
(per day)</t>
        </is>
      </c>
      <c r="E76" s="100" t="inlineStr">
        <is>
          <t>% of Ideal</t>
        </is>
      </c>
    </row>
    <row r="77" ht="15" customHeight="1" s="67">
      <c r="A77" s="79" t="n"/>
      <c r="B77" s="80" t="n">
        <v>1</v>
      </c>
      <c r="C77" s="80" t="inlineStr">
        <is>
          <t>Protein (g)</t>
        </is>
      </c>
      <c r="D77" s="141">
        <f>IFERROR(AVERAGEIF(E7:E37,"&gt;"&amp;0),0)</f>
        <v/>
      </c>
      <c r="E77" s="80" t="n">
        <v>55</v>
      </c>
      <c r="F77" s="133">
        <f>IFERROR(D77/E77,0)</f>
        <v/>
      </c>
    </row>
    <row r="78" ht="15" customHeight="1" s="67">
      <c r="A78" s="84" t="n"/>
      <c r="B78" s="85" t="n">
        <v>2</v>
      </c>
      <c r="C78" s="85" t="inlineStr">
        <is>
          <t>Carbs (g)</t>
        </is>
      </c>
      <c r="D78" s="142">
        <f>IFERROR(AVERAGEIF(F7:F37,"&gt;"&amp;0),0)</f>
        <v/>
      </c>
      <c r="E78" s="85" t="n">
        <v>275</v>
      </c>
      <c r="F78" s="133">
        <f>IFERROR(D78/E78,0)</f>
        <v/>
      </c>
    </row>
    <row r="79" ht="15" customHeight="1" s="67">
      <c r="A79" s="79" t="n"/>
      <c r="B79" s="80" t="n">
        <v>3</v>
      </c>
      <c r="C79" s="80" t="inlineStr">
        <is>
          <t>Fibre (g)</t>
        </is>
      </c>
      <c r="D79" s="141">
        <f>IFERROR(AVERAGEIF(G7:G37,"&gt;"&amp;0),0)</f>
        <v/>
      </c>
      <c r="E79" s="80" t="n">
        <v>30</v>
      </c>
      <c r="F79" s="133">
        <f>IFERROR(D79/E79,0)</f>
        <v/>
      </c>
    </row>
    <row r="80" ht="15" customHeight="1" s="67">
      <c r="A80" s="84" t="n"/>
      <c r="B80" s="85" t="n">
        <v>4</v>
      </c>
      <c r="C80" s="85" t="inlineStr">
        <is>
          <t>Fat (g)</t>
        </is>
      </c>
      <c r="D80" s="142">
        <f>IFERROR(AVERAGEIF(H7:H37,"&gt;"&amp;0),0)</f>
        <v/>
      </c>
      <c r="E80" s="85" t="n">
        <v>65</v>
      </c>
      <c r="F80" s="133">
        <f>IFERROR(D80/E80,0)</f>
        <v/>
      </c>
    </row>
    <row r="81" ht="15" customHeight="1" s="67">
      <c r="A81" s="79" t="n"/>
      <c r="B81" s="80" t="n">
        <v>5</v>
      </c>
      <c r="C81" s="80" t="inlineStr">
        <is>
          <t>Calories (kcal)</t>
        </is>
      </c>
      <c r="D81" s="141">
        <f>IFERROR(AVERAGEIF(J7:J37,"&gt;"&amp;0),0)</f>
        <v/>
      </c>
      <c r="E81" s="80" t="n">
        <v>2000</v>
      </c>
      <c r="F81" s="133">
        <f>IFERROR(D81/E81,0)</f>
        <v/>
      </c>
    </row>
    <row r="83" ht="15" customHeight="1" s="67">
      <c r="B83" s="76" t="inlineStr">
        <is>
          <t>Meal Healthiness Distribution</t>
        </is>
      </c>
    </row>
    <row r="84" ht="26.85" customHeight="1" s="67">
      <c r="A84" s="100" t="n"/>
      <c r="B84" s="100" t="inlineStr">
        <is>
          <t>Band</t>
        </is>
      </c>
      <c r="C84" s="100" t="inlineStr">
        <is>
          <t>Meal Count</t>
        </is>
      </c>
    </row>
    <row r="85" ht="15" customHeight="1" s="67">
      <c r="A85" s="79" t="n"/>
      <c r="B85" s="80" t="n"/>
      <c r="C85" s="80" t="inlineStr">
        <is>
          <t>Healthy (4-5)</t>
        </is>
      </c>
      <c r="D85" s="66">
        <f>COUNTIFS('Food Log'!$E$8:$E$200,"&gt;="&amp;4)</f>
        <v/>
      </c>
    </row>
    <row r="86" ht="15" customHeight="1" s="67">
      <c r="A86" s="84" t="n"/>
      <c r="B86" s="85" t="n"/>
      <c r="C86" s="85" t="inlineStr">
        <is>
          <t>Mixed (3-3.9)</t>
        </is>
      </c>
      <c r="D86" s="66">
        <f>COUNTIFS('Food Log'!$E$8:$E$200,"&gt;="&amp;3,'Food Log'!$E$8:$E$200,"&lt;"&amp;4)</f>
        <v/>
      </c>
    </row>
    <row r="87" ht="15" customHeight="1" s="67">
      <c r="A87" s="79" t="n"/>
      <c r="B87" s="80" t="n"/>
      <c r="C87" s="80" t="inlineStr">
        <is>
          <t>Unhealthy (1-2.9)</t>
        </is>
      </c>
      <c r="D87" s="66">
        <f>COUNTIFS('Food Log'!$E$8:$E$200,"&gt;="&amp;1,'Food Log'!$E$8:$E$200,"&lt;"&amp;3)</f>
        <v/>
      </c>
    </row>
    <row r="90">
      <c r="B90" s="134" t="inlineStr">
        <is>
          <t>Daily Calorie Intake (Chart Data)</t>
        </is>
      </c>
    </row>
    <row r="91">
      <c r="B91" s="135" t="inlineStr">
        <is>
          <t>Day</t>
        </is>
      </c>
      <c r="C91" s="135" t="inlineStr">
        <is>
          <t>Calories In</t>
        </is>
      </c>
      <c r="D91" s="135" t="inlineStr">
        <is>
          <t>Calories Out</t>
        </is>
      </c>
      <c r="E91" s="135" t="inlineStr">
        <is>
          <t>Net</t>
        </is>
      </c>
    </row>
    <row r="92">
      <c r="B92" s="136" t="n">
        <v>1</v>
      </c>
      <c r="C92" s="137">
        <f>J7</f>
        <v/>
      </c>
      <c r="D92" s="137">
        <f>D42</f>
        <v/>
      </c>
      <c r="E92" s="137">
        <f>C92-D92</f>
        <v/>
      </c>
    </row>
    <row r="93">
      <c r="B93" s="136" t="n">
        <v>2</v>
      </c>
      <c r="C93" s="137">
        <f>J8</f>
        <v/>
      </c>
      <c r="D93" s="137">
        <f>D43</f>
        <v/>
      </c>
      <c r="E93" s="137">
        <f>C93-D93</f>
        <v/>
      </c>
    </row>
    <row r="94">
      <c r="B94" s="136" t="n">
        <v>3</v>
      </c>
      <c r="C94" s="137">
        <f>J9</f>
        <v/>
      </c>
      <c r="D94" s="137">
        <f>D44</f>
        <v/>
      </c>
      <c r="E94" s="137">
        <f>C94-D94</f>
        <v/>
      </c>
    </row>
    <row r="95">
      <c r="B95" s="136" t="n">
        <v>4</v>
      </c>
      <c r="C95" s="137">
        <f>J10</f>
        <v/>
      </c>
      <c r="D95" s="137">
        <f>D45</f>
        <v/>
      </c>
      <c r="E95" s="137">
        <f>C95-D95</f>
        <v/>
      </c>
    </row>
    <row r="96">
      <c r="B96" s="136" t="n">
        <v>5</v>
      </c>
      <c r="C96" s="137">
        <f>J11</f>
        <v/>
      </c>
      <c r="D96" s="137">
        <f>D46</f>
        <v/>
      </c>
      <c r="E96" s="137">
        <f>C96-D96</f>
        <v/>
      </c>
    </row>
    <row r="97">
      <c r="B97" s="136" t="n">
        <v>6</v>
      </c>
      <c r="C97" s="137">
        <f>J12</f>
        <v/>
      </c>
      <c r="D97" s="137">
        <f>D47</f>
        <v/>
      </c>
      <c r="E97" s="137">
        <f>C97-D97</f>
        <v/>
      </c>
    </row>
    <row r="98">
      <c r="B98" s="136" t="n">
        <v>7</v>
      </c>
      <c r="C98" s="137">
        <f>J13</f>
        <v/>
      </c>
      <c r="D98" s="137">
        <f>D48</f>
        <v/>
      </c>
      <c r="E98" s="137">
        <f>C98-D98</f>
        <v/>
      </c>
    </row>
    <row r="99">
      <c r="B99" s="136" t="n">
        <v>8</v>
      </c>
      <c r="C99" s="137">
        <f>J14</f>
        <v/>
      </c>
      <c r="D99" s="137">
        <f>D49</f>
        <v/>
      </c>
      <c r="E99" s="137">
        <f>C99-D99</f>
        <v/>
      </c>
    </row>
    <row r="100">
      <c r="B100" s="136" t="n">
        <v>9</v>
      </c>
      <c r="C100" s="137">
        <f>J15</f>
        <v/>
      </c>
      <c r="D100" s="137">
        <f>D50</f>
        <v/>
      </c>
      <c r="E100" s="137">
        <f>C100-D100</f>
        <v/>
      </c>
    </row>
    <row r="101">
      <c r="B101" s="136" t="n">
        <v>10</v>
      </c>
      <c r="C101" s="137">
        <f>J16</f>
        <v/>
      </c>
      <c r="D101" s="137">
        <f>D51</f>
        <v/>
      </c>
      <c r="E101" s="137">
        <f>C101-D101</f>
        <v/>
      </c>
    </row>
    <row r="102">
      <c r="B102" s="136" t="n">
        <v>11</v>
      </c>
      <c r="C102" s="137">
        <f>J17</f>
        <v/>
      </c>
      <c r="D102" s="137">
        <f>D52</f>
        <v/>
      </c>
      <c r="E102" s="137">
        <f>C102-D102</f>
        <v/>
      </c>
    </row>
    <row r="103">
      <c r="B103" s="136" t="n">
        <v>12</v>
      </c>
      <c r="C103" s="137">
        <f>J18</f>
        <v/>
      </c>
      <c r="D103" s="137">
        <f>D53</f>
        <v/>
      </c>
      <c r="E103" s="137">
        <f>C103-D103</f>
        <v/>
      </c>
    </row>
    <row r="104">
      <c r="B104" s="136" t="n">
        <v>13</v>
      </c>
      <c r="C104" s="137">
        <f>J19</f>
        <v/>
      </c>
      <c r="D104" s="137">
        <f>D54</f>
        <v/>
      </c>
      <c r="E104" s="137">
        <f>C104-D104</f>
        <v/>
      </c>
    </row>
    <row r="105">
      <c r="B105" s="136" t="n">
        <v>14</v>
      </c>
      <c r="C105" s="137">
        <f>J20</f>
        <v/>
      </c>
      <c r="D105" s="137">
        <f>D55</f>
        <v/>
      </c>
      <c r="E105" s="137">
        <f>C105-D105</f>
        <v/>
      </c>
    </row>
    <row r="106">
      <c r="B106" s="136" t="n">
        <v>15</v>
      </c>
      <c r="C106" s="137">
        <f>J21</f>
        <v/>
      </c>
      <c r="D106" s="137">
        <f>D56</f>
        <v/>
      </c>
      <c r="E106" s="137">
        <f>C106-D106</f>
        <v/>
      </c>
    </row>
    <row r="107">
      <c r="B107" s="136" t="n">
        <v>16</v>
      </c>
      <c r="C107" s="137">
        <f>J22</f>
        <v/>
      </c>
      <c r="D107" s="137">
        <f>D57</f>
        <v/>
      </c>
      <c r="E107" s="137">
        <f>C107-D107</f>
        <v/>
      </c>
    </row>
    <row r="108">
      <c r="B108" s="136" t="n">
        <v>17</v>
      </c>
      <c r="C108" s="137">
        <f>J23</f>
        <v/>
      </c>
      <c r="D108" s="137">
        <f>D58</f>
        <v/>
      </c>
      <c r="E108" s="137">
        <f>C108-D108</f>
        <v/>
      </c>
    </row>
    <row r="109">
      <c r="B109" s="136" t="n">
        <v>18</v>
      </c>
      <c r="C109" s="137">
        <f>J24</f>
        <v/>
      </c>
      <c r="D109" s="137">
        <f>D59</f>
        <v/>
      </c>
      <c r="E109" s="137">
        <f>C109-D109</f>
        <v/>
      </c>
    </row>
    <row r="110">
      <c r="B110" s="136" t="n">
        <v>19</v>
      </c>
      <c r="C110" s="137">
        <f>J25</f>
        <v/>
      </c>
      <c r="D110" s="137">
        <f>D60</f>
        <v/>
      </c>
      <c r="E110" s="137">
        <f>C110-D110</f>
        <v/>
      </c>
    </row>
    <row r="111">
      <c r="B111" s="136" t="n">
        <v>20</v>
      </c>
      <c r="C111" s="137">
        <f>J26</f>
        <v/>
      </c>
      <c r="D111" s="137">
        <f>D61</f>
        <v/>
      </c>
      <c r="E111" s="137">
        <f>C111-D111</f>
        <v/>
      </c>
    </row>
    <row r="112">
      <c r="B112" s="136" t="n">
        <v>21</v>
      </c>
      <c r="C112" s="137">
        <f>J27</f>
        <v/>
      </c>
      <c r="D112" s="137">
        <f>D62</f>
        <v/>
      </c>
      <c r="E112" s="137">
        <f>C112-D112</f>
        <v/>
      </c>
    </row>
    <row r="113">
      <c r="B113" s="136" t="n">
        <v>22</v>
      </c>
      <c r="C113" s="137">
        <f>J28</f>
        <v/>
      </c>
      <c r="D113" s="137">
        <f>D63</f>
        <v/>
      </c>
      <c r="E113" s="137">
        <f>C113-D113</f>
        <v/>
      </c>
    </row>
    <row r="114">
      <c r="B114" s="136" t="n">
        <v>23</v>
      </c>
      <c r="C114" s="137">
        <f>J29</f>
        <v/>
      </c>
      <c r="D114" s="137">
        <f>D64</f>
        <v/>
      </c>
      <c r="E114" s="137">
        <f>C114-D114</f>
        <v/>
      </c>
    </row>
    <row r="115">
      <c r="B115" s="136" t="n">
        <v>24</v>
      </c>
      <c r="C115" s="137">
        <f>J30</f>
        <v/>
      </c>
      <c r="D115" s="137">
        <f>D65</f>
        <v/>
      </c>
      <c r="E115" s="137">
        <f>C115-D115</f>
        <v/>
      </c>
    </row>
    <row r="116">
      <c r="B116" s="136" t="n">
        <v>25</v>
      </c>
      <c r="C116" s="137">
        <f>J31</f>
        <v/>
      </c>
      <c r="D116" s="137">
        <f>D66</f>
        <v/>
      </c>
      <c r="E116" s="137">
        <f>C116-D116</f>
        <v/>
      </c>
    </row>
    <row r="117">
      <c r="B117" s="136" t="n">
        <v>26</v>
      </c>
      <c r="C117" s="137">
        <f>J32</f>
        <v/>
      </c>
      <c r="D117" s="137">
        <f>D67</f>
        <v/>
      </c>
      <c r="E117" s="137">
        <f>C117-D117</f>
        <v/>
      </c>
    </row>
    <row r="118">
      <c r="B118" s="136" t="n">
        <v>27</v>
      </c>
      <c r="C118" s="137">
        <f>J33</f>
        <v/>
      </c>
      <c r="D118" s="137">
        <f>D68</f>
        <v/>
      </c>
      <c r="E118" s="137">
        <f>C118-D118</f>
        <v/>
      </c>
    </row>
    <row r="119">
      <c r="B119" s="136" t="n">
        <v>28</v>
      </c>
      <c r="C119" s="137">
        <f>J34</f>
        <v/>
      </c>
      <c r="D119" s="137">
        <f>D69</f>
        <v/>
      </c>
      <c r="E119" s="137">
        <f>C119-D119</f>
        <v/>
      </c>
    </row>
    <row r="120">
      <c r="B120" s="136" t="n">
        <v>29</v>
      </c>
      <c r="C120" s="137">
        <f>J35</f>
        <v/>
      </c>
      <c r="D120" s="137">
        <f>D70</f>
        <v/>
      </c>
      <c r="E120" s="137">
        <f>C120-D120</f>
        <v/>
      </c>
    </row>
    <row r="121">
      <c r="B121" s="136" t="n">
        <v>30</v>
      </c>
      <c r="C121" s="137">
        <f>J36</f>
        <v/>
      </c>
      <c r="D121" s="137">
        <f>D71</f>
        <v/>
      </c>
      <c r="E121" s="137">
        <f>C121-D121</f>
        <v/>
      </c>
    </row>
    <row r="122">
      <c r="B122" s="136" t="n">
        <v>31</v>
      </c>
      <c r="C122" s="137">
        <f>J37</f>
        <v/>
      </c>
      <c r="D122" s="137">
        <f>D72</f>
        <v/>
      </c>
      <c r="E122" s="137">
        <f>C122-D122</f>
        <v/>
      </c>
    </row>
    <row r="125">
      <c r="B125" s="134" t="inlineStr">
        <is>
          <t>Weight Progress (Chart Data)</t>
        </is>
      </c>
    </row>
    <row r="126">
      <c r="B126" s="135" t="inlineStr">
        <is>
          <t>Date</t>
        </is>
      </c>
      <c r="C126" s="135" t="inlineStr">
        <is>
          <t>Weight</t>
        </is>
      </c>
      <c r="D126" s="135" t="inlineStr">
        <is>
          <t>Target</t>
        </is>
      </c>
    </row>
    <row r="127">
      <c r="B127" s="138">
        <f>'Weight Log'!B15</f>
        <v/>
      </c>
      <c r="C127" s="149">
        <f>'Weight Log'!C15</f>
        <v/>
      </c>
      <c r="D127" s="149">
        <f>'Weight Log'!C7</f>
        <v/>
      </c>
    </row>
    <row r="128">
      <c r="B128" s="138">
        <f>'Weight Log'!B16</f>
        <v/>
      </c>
      <c r="C128" s="149">
        <f>'Weight Log'!C16</f>
        <v/>
      </c>
      <c r="D128" s="149">
        <f>'Weight Log'!C7</f>
        <v/>
      </c>
    </row>
    <row r="129">
      <c r="B129" s="138">
        <f>'Weight Log'!B17</f>
        <v/>
      </c>
      <c r="C129" s="149">
        <f>'Weight Log'!C17</f>
        <v/>
      </c>
      <c r="D129" s="149">
        <f>'Weight Log'!C7</f>
        <v/>
      </c>
    </row>
    <row r="130">
      <c r="B130" s="138">
        <f>'Weight Log'!B18</f>
        <v/>
      </c>
      <c r="C130" s="149">
        <f>'Weight Log'!C18</f>
        <v/>
      </c>
      <c r="D130" s="149">
        <f>'Weight Log'!C7</f>
        <v/>
      </c>
    </row>
    <row r="131">
      <c r="B131" s="138">
        <f>'Weight Log'!B19</f>
        <v/>
      </c>
      <c r="C131" s="149">
        <f>'Weight Log'!C19</f>
        <v/>
      </c>
      <c r="D131" s="149">
        <f>'Weight Log'!C7</f>
        <v/>
      </c>
    </row>
    <row r="132">
      <c r="B132" s="138">
        <f>'Weight Log'!B20</f>
        <v/>
      </c>
      <c r="C132" s="149">
        <f>'Weight Log'!C20</f>
        <v/>
      </c>
      <c r="D132" s="149">
        <f>'Weight Log'!C7</f>
        <v/>
      </c>
    </row>
    <row r="133">
      <c r="B133" s="138">
        <f>'Weight Log'!B21</f>
        <v/>
      </c>
      <c r="C133" s="149">
        <f>'Weight Log'!C21</f>
        <v/>
      </c>
      <c r="D133" s="149">
        <f>'Weight Log'!C7</f>
        <v/>
      </c>
    </row>
    <row r="134">
      <c r="B134" s="138">
        <f>'Weight Log'!B22</f>
        <v/>
      </c>
      <c r="C134" s="149">
        <f>'Weight Log'!C22</f>
        <v/>
      </c>
      <c r="D134" s="149">
        <f>'Weight Log'!C7</f>
        <v/>
      </c>
    </row>
    <row r="135">
      <c r="B135" s="138">
        <f>'Weight Log'!B23</f>
        <v/>
      </c>
      <c r="C135" s="149">
        <f>'Weight Log'!C23</f>
        <v/>
      </c>
      <c r="D135" s="149">
        <f>'Weight Log'!C7</f>
        <v/>
      </c>
    </row>
    <row r="136">
      <c r="B136" s="138">
        <f>'Weight Log'!B24</f>
        <v/>
      </c>
      <c r="C136" s="149">
        <f>'Weight Log'!C24</f>
        <v/>
      </c>
      <c r="D136" s="149">
        <f>'Weight Log'!C7</f>
        <v/>
      </c>
    </row>
    <row r="137">
      <c r="B137" s="138">
        <f>'Weight Log'!B25</f>
        <v/>
      </c>
      <c r="C137" s="149">
        <f>'Weight Log'!C25</f>
        <v/>
      </c>
      <c r="D137" s="149">
        <f>'Weight Log'!C7</f>
        <v/>
      </c>
    </row>
    <row r="138">
      <c r="B138" s="138">
        <f>'Weight Log'!B26</f>
        <v/>
      </c>
      <c r="C138" s="149">
        <f>'Weight Log'!C26</f>
        <v/>
      </c>
      <c r="D138" s="149">
        <f>'Weight Log'!C7</f>
        <v/>
      </c>
    </row>
    <row r="139">
      <c r="B139" s="138">
        <f>'Weight Log'!B27</f>
        <v/>
      </c>
      <c r="C139" s="149">
        <f>'Weight Log'!C27</f>
        <v/>
      </c>
      <c r="D139" s="149">
        <f>'Weight Log'!C7</f>
        <v/>
      </c>
    </row>
    <row r="140">
      <c r="B140" s="138">
        <f>'Weight Log'!B28</f>
        <v/>
      </c>
      <c r="C140" s="149">
        <f>'Weight Log'!C28</f>
        <v/>
      </c>
      <c r="D140" s="149">
        <f>'Weight Log'!C7</f>
        <v/>
      </c>
    </row>
    <row r="141">
      <c r="B141" s="138">
        <f>'Weight Log'!B29</f>
        <v/>
      </c>
      <c r="C141" s="149">
        <f>'Weight Log'!C29</f>
        <v/>
      </c>
      <c r="D141" s="149">
        <f>'Weight Log'!C7</f>
        <v/>
      </c>
    </row>
    <row r="142">
      <c r="B142" s="138">
        <f>'Weight Log'!B30</f>
        <v/>
      </c>
      <c r="C142" s="149">
        <f>'Weight Log'!C30</f>
        <v/>
      </c>
      <c r="D142" s="149">
        <f>'Weight Log'!C7</f>
        <v/>
      </c>
    </row>
    <row r="143">
      <c r="B143" s="138">
        <f>'Weight Log'!B31</f>
        <v/>
      </c>
      <c r="C143" s="149">
        <f>'Weight Log'!C31</f>
        <v/>
      </c>
      <c r="D143" s="149">
        <f>'Weight Log'!C7</f>
        <v/>
      </c>
    </row>
    <row r="144">
      <c r="B144" s="138">
        <f>'Weight Log'!B32</f>
        <v/>
      </c>
      <c r="C144" s="149">
        <f>'Weight Log'!C32</f>
        <v/>
      </c>
      <c r="D144" s="149">
        <f>'Weight Log'!C7</f>
        <v/>
      </c>
    </row>
    <row r="145">
      <c r="B145" s="138">
        <f>'Weight Log'!B33</f>
        <v/>
      </c>
      <c r="C145" s="149">
        <f>'Weight Log'!C33</f>
        <v/>
      </c>
      <c r="D145" s="149">
        <f>'Weight Log'!C7</f>
        <v/>
      </c>
    </row>
    <row r="146">
      <c r="B146" s="138">
        <f>'Weight Log'!B34</f>
        <v/>
      </c>
      <c r="C146" s="149">
        <f>'Weight Log'!C34</f>
        <v/>
      </c>
      <c r="D146" s="149">
        <f>'Weight Log'!C7</f>
        <v/>
      </c>
    </row>
  </sheetData>
  <mergeCells count="2">
    <mergeCell ref="B3:I3"/>
    <mergeCell ref="B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2026-09-30T10:10:42Z</dcterms:created>
  <dcterms:modified xsi:type="dcterms:W3CDTF">2026-09-30T10:32:56Z</dcterms:modified>
  <cp:revision>0</cp:revision>
</cp:coreProperties>
</file>